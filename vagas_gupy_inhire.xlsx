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busca-vagas-gupy-inhire-empregare\"/>
    </mc:Choice>
  </mc:AlternateContent>
  <xr:revisionPtr revIDLastSave="0" documentId="8_{80BBFD1F-DEB0-45FE-B891-DA9BF9952350}" xr6:coauthVersionLast="47" xr6:coauthVersionMax="47" xr10:uidLastSave="{00000000-0000-0000-0000-000000000000}"/>
  <bookViews>
    <workbookView xWindow="-108" yWindow="-108" windowWidth="23256" windowHeight="12456" xr2:uid="{7B89FA0F-EF4E-4911-A5C4-77D29DB5884D}"/>
  </bookViews>
  <sheets>
    <sheet name="Vagas" sheetId="3" r:id="rId1"/>
    <sheet name="Presenca por Empresa" sheetId="2" r:id="rId2"/>
    <sheet name="InHire novas (fora da lista)" sheetId="1" r:id="rId3"/>
  </sheets>
  <definedNames>
    <definedName name="_xlnm._FilterDatabase" localSheetId="2" hidden="1">'InHire novas (fora da lista)'!$A$1:$C$300</definedName>
    <definedName name="_xlnm._FilterDatabase" localSheetId="1" hidden="1">'Presenca por Empresa'!$A$1:$F$251</definedName>
    <definedName name="_xlnm._FilterDatabase" localSheetId="0" hidden="1">Vagas!$A$1:$N$47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E2" i="2"/>
  <c r="E4" i="2"/>
  <c r="E9" i="2"/>
  <c r="E13" i="2"/>
  <c r="E14" i="2"/>
  <c r="E15" i="2"/>
  <c r="E18" i="2"/>
  <c r="E19" i="2"/>
  <c r="E21" i="2"/>
  <c r="E24" i="2"/>
  <c r="E25" i="2"/>
  <c r="E29" i="2"/>
  <c r="E30" i="2"/>
  <c r="E31" i="2"/>
  <c r="E32" i="2"/>
  <c r="E34" i="2"/>
  <c r="E37" i="2"/>
  <c r="E41" i="2"/>
  <c r="E42" i="2"/>
  <c r="E43" i="2"/>
  <c r="E45" i="2"/>
  <c r="E47" i="2"/>
  <c r="E49" i="2"/>
  <c r="E52" i="2"/>
  <c r="E54" i="2"/>
  <c r="E55" i="2"/>
  <c r="E58" i="2"/>
  <c r="E61" i="2"/>
  <c r="E62" i="2"/>
  <c r="E63" i="2"/>
  <c r="E68" i="2"/>
  <c r="E69" i="2"/>
  <c r="E70" i="2"/>
  <c r="E71" i="2"/>
  <c r="E74" i="2"/>
  <c r="E76" i="2"/>
  <c r="E77" i="2"/>
  <c r="E78" i="2"/>
  <c r="E80" i="2"/>
  <c r="E81" i="2"/>
  <c r="E82" i="2"/>
  <c r="E83" i="2"/>
  <c r="E86" i="2"/>
  <c r="E87" i="2"/>
  <c r="E89" i="2"/>
  <c r="E91" i="2"/>
  <c r="E92" i="2"/>
  <c r="E93" i="2"/>
  <c r="E95" i="2"/>
  <c r="E96" i="2"/>
  <c r="E97" i="2"/>
  <c r="E98" i="2"/>
  <c r="E100" i="2"/>
  <c r="E101" i="2"/>
  <c r="E102" i="2"/>
  <c r="E104" i="2"/>
  <c r="E105" i="2"/>
  <c r="E107" i="2"/>
  <c r="E109" i="2"/>
  <c r="E110" i="2"/>
  <c r="E113" i="2"/>
  <c r="E116" i="2"/>
  <c r="E119" i="2"/>
  <c r="E123" i="2"/>
  <c r="E124" i="2"/>
  <c r="E125" i="2"/>
  <c r="E126" i="2"/>
  <c r="E127" i="2"/>
  <c r="E128" i="2"/>
  <c r="E130" i="2"/>
  <c r="E131" i="2"/>
  <c r="E133" i="2"/>
  <c r="E135" i="2"/>
  <c r="E137" i="2"/>
  <c r="E138" i="2"/>
  <c r="E139" i="2"/>
  <c r="E142" i="2"/>
  <c r="E143" i="2"/>
  <c r="E144" i="2"/>
  <c r="E146" i="2"/>
  <c r="E147" i="2"/>
  <c r="E148" i="2"/>
  <c r="E149" i="2"/>
  <c r="E151" i="2"/>
  <c r="E152" i="2"/>
  <c r="E156" i="2"/>
  <c r="E157" i="2"/>
  <c r="E159" i="2"/>
  <c r="E160" i="2"/>
  <c r="E161" i="2"/>
  <c r="E162" i="2"/>
  <c r="E167" i="2"/>
  <c r="E169" i="2"/>
  <c r="E170" i="2"/>
  <c r="E171" i="2"/>
  <c r="E172" i="2"/>
  <c r="E174" i="2"/>
  <c r="E176" i="2"/>
  <c r="E177" i="2"/>
  <c r="E178" i="2"/>
  <c r="E179" i="2"/>
  <c r="E180" i="2"/>
  <c r="E181" i="2"/>
  <c r="E183" i="2"/>
  <c r="E184" i="2"/>
  <c r="E188" i="2"/>
  <c r="E191" i="2"/>
  <c r="E195" i="2"/>
  <c r="E196" i="2"/>
  <c r="E197" i="2"/>
  <c r="E198" i="2"/>
  <c r="E199" i="2"/>
  <c r="E200" i="2"/>
  <c r="E203" i="2"/>
  <c r="E205" i="2"/>
  <c r="E207" i="2"/>
  <c r="E208" i="2"/>
  <c r="E209" i="2"/>
  <c r="E211" i="2"/>
  <c r="E214" i="2"/>
  <c r="E215" i="2"/>
  <c r="E216" i="2"/>
  <c r="E219" i="2"/>
  <c r="E221" i="2"/>
  <c r="E222" i="2"/>
  <c r="E224" i="2"/>
  <c r="E226" i="2"/>
  <c r="E227" i="2"/>
  <c r="E228" i="2"/>
  <c r="E229" i="2"/>
  <c r="E230" i="2"/>
  <c r="E232" i="2"/>
  <c r="E233" i="2"/>
  <c r="E234" i="2"/>
  <c r="E237" i="2"/>
  <c r="E238" i="2"/>
  <c r="E240" i="2"/>
  <c r="E242" i="2"/>
  <c r="E243" i="2"/>
  <c r="E246" i="2"/>
  <c r="E248" i="2"/>
  <c r="E251" i="2"/>
  <c r="C3" i="2"/>
  <c r="C5" i="2"/>
  <c r="C6" i="2"/>
  <c r="C7" i="2"/>
  <c r="C8" i="2"/>
  <c r="C10" i="2"/>
  <c r="C11" i="2"/>
  <c r="C12" i="2"/>
  <c r="C14" i="2"/>
  <c r="C16" i="2"/>
  <c r="C17" i="2"/>
  <c r="C20" i="2"/>
  <c r="C22" i="2"/>
  <c r="C23" i="2"/>
  <c r="C26" i="2"/>
  <c r="C27" i="2"/>
  <c r="C28" i="2"/>
  <c r="C33" i="2"/>
  <c r="C35" i="2"/>
  <c r="C36" i="2"/>
  <c r="C38" i="2"/>
  <c r="C39" i="2"/>
  <c r="C40" i="2"/>
  <c r="C42" i="2"/>
  <c r="C44" i="2"/>
  <c r="C46" i="2"/>
  <c r="C48" i="2"/>
  <c r="C50" i="2"/>
  <c r="C51" i="2"/>
  <c r="C53" i="2"/>
  <c r="C56" i="2"/>
  <c r="C57" i="2"/>
  <c r="C59" i="2"/>
  <c r="C60" i="2"/>
  <c r="C61" i="2"/>
  <c r="C63" i="2"/>
  <c r="C64" i="2"/>
  <c r="C65" i="2"/>
  <c r="C66" i="2"/>
  <c r="C67" i="2"/>
  <c r="C70" i="2"/>
  <c r="C72" i="2"/>
  <c r="C73" i="2"/>
  <c r="C74" i="2"/>
  <c r="C75" i="2"/>
  <c r="C77" i="2"/>
  <c r="C79" i="2"/>
  <c r="C80" i="2"/>
  <c r="C84" i="2"/>
  <c r="C85" i="2"/>
  <c r="C87" i="2"/>
  <c r="C88" i="2"/>
  <c r="C90" i="2"/>
  <c r="C94" i="2"/>
  <c r="C99" i="2"/>
  <c r="C103" i="2"/>
  <c r="C105" i="2"/>
  <c r="C106" i="2"/>
  <c r="C108" i="2"/>
  <c r="C109" i="2"/>
  <c r="C111" i="2"/>
  <c r="C112" i="2"/>
  <c r="C114" i="2"/>
  <c r="C115" i="2"/>
  <c r="C116" i="2"/>
  <c r="C117" i="2"/>
  <c r="C118" i="2"/>
  <c r="C120" i="2"/>
  <c r="C121" i="2"/>
  <c r="C122" i="2"/>
  <c r="C129" i="2"/>
  <c r="C132" i="2"/>
  <c r="C134" i="2"/>
  <c r="C136" i="2"/>
  <c r="C140" i="2"/>
  <c r="C141" i="2"/>
  <c r="C145" i="2"/>
  <c r="C150" i="2"/>
  <c r="C153" i="2"/>
  <c r="C154" i="2"/>
  <c r="C155" i="2"/>
  <c r="C158" i="2"/>
  <c r="C161" i="2"/>
  <c r="C163" i="2"/>
  <c r="C164" i="2"/>
  <c r="C165" i="2"/>
  <c r="C166" i="2"/>
  <c r="C167" i="2"/>
  <c r="C168" i="2"/>
  <c r="C173" i="2"/>
  <c r="C175" i="2"/>
  <c r="C176" i="2"/>
  <c r="C182" i="2"/>
  <c r="C184" i="2"/>
  <c r="C185" i="2"/>
  <c r="C186" i="2"/>
  <c r="C187" i="2"/>
  <c r="C189" i="2"/>
  <c r="C190" i="2"/>
  <c r="C192" i="2"/>
  <c r="C193" i="2"/>
  <c r="C194" i="2"/>
  <c r="C201" i="2"/>
  <c r="C202" i="2"/>
  <c r="C203" i="2"/>
  <c r="C204" i="2"/>
  <c r="C206" i="2"/>
  <c r="C209" i="2"/>
  <c r="C210" i="2"/>
  <c r="C212" i="2"/>
  <c r="C213" i="2"/>
  <c r="C214" i="2"/>
  <c r="C217" i="2"/>
  <c r="C218" i="2"/>
  <c r="C220" i="2"/>
  <c r="C223" i="2"/>
  <c r="C225" i="2"/>
  <c r="C231" i="2"/>
  <c r="C233" i="2"/>
  <c r="C235" i="2"/>
  <c r="C236" i="2"/>
  <c r="C239" i="2"/>
  <c r="C241" i="2"/>
  <c r="C242" i="2"/>
  <c r="C244" i="2"/>
  <c r="C245" i="2"/>
  <c r="C247" i="2"/>
  <c r="C249" i="2"/>
  <c r="C250" i="2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</calcChain>
</file>

<file path=xl/sharedStrings.xml><?xml version="1.0" encoding="utf-8"?>
<sst xmlns="http://schemas.openxmlformats.org/spreadsheetml/2006/main" count="1278" uniqueCount="684">
  <si>
    <t>Situação</t>
  </si>
  <si>
    <t>Empresa</t>
  </si>
  <si>
    <t>Plataforma</t>
  </si>
  <si>
    <t>Na sua lista?</t>
  </si>
  <si>
    <t>Categoria do Cargo</t>
  </si>
  <si>
    <t>Titulo da Vaga</t>
  </si>
  <si>
    <t>Tipo</t>
  </si>
  <si>
    <t>Local</t>
  </si>
  <si>
    <t>Link para Candidatura</t>
  </si>
  <si>
    <t>Nome na Plataforma</t>
  </si>
  <si>
    <t>Publicado</t>
  </si>
  <si>
    <t>Prazo Final</t>
  </si>
  <si>
    <t>Alerta / Conferir</t>
  </si>
  <si>
    <t>Detectada em</t>
  </si>
  <si>
    <t>Não Aplicada</t>
  </si>
  <si>
    <t>Bradesco</t>
  </si>
  <si>
    <t>Eureca</t>
  </si>
  <si>
    <t>Sim</t>
  </si>
  <si>
    <t>Estágio — Dados / Analytics</t>
  </si>
  <si>
    <t>Tecnologia &amp; Dados — Programa de Estágio - Segundo Semestre</t>
  </si>
  <si>
    <t>Estágio</t>
  </si>
  <si>
    <t>Não informado</t>
  </si>
  <si>
    <t>localidade não declarada — confirmar se contempla Brasília-DF ou remoto</t>
  </si>
  <si>
    <t>Estágio em Dados e Analytics — Estágio Grupo Bradesco Seguros 2026.2</t>
  </si>
  <si>
    <t>hibrido/presencial</t>
  </si>
  <si>
    <t>Rio de Janeiro, São Paulo, Brasília, RJ, SP, DF, Rio de Janeiro, RJ</t>
  </si>
  <si>
    <t>Grupo Bradesco Seguros</t>
  </si>
  <si>
    <t>Estágio — Mercado Financeiro</t>
  </si>
  <si>
    <t>Atacado, Wealth &amp; Tesouraria — Programa de Estágio - Segundo Semestre</t>
  </si>
  <si>
    <t>Cadastra</t>
  </si>
  <si>
    <t>Gupy</t>
  </si>
  <si>
    <t>Analista de Insights</t>
  </si>
  <si>
    <t>Digital Insights Analista JR | 100% remoto</t>
  </si>
  <si>
    <t>remote</t>
  </si>
  <si>
    <t>Brasil</t>
  </si>
  <si>
    <t xml:space="preserve">Cadastra </t>
  </si>
  <si>
    <t>Elife</t>
  </si>
  <si>
    <t>Business Analyst / Analista de Negócios</t>
  </si>
  <si>
    <t>Reserva INK | Analista de Negócios Jr (Suporte) - Temporária</t>
  </si>
  <si>
    <t>Rio de Janeiro / Brasil</t>
  </si>
  <si>
    <t xml:space="preserve">AZZAS 2154 FASHION &amp; LIFESTYLE </t>
  </si>
  <si>
    <t>Contabilizei</t>
  </si>
  <si>
    <t>InHire</t>
  </si>
  <si>
    <t>Mercado Financeiro</t>
  </si>
  <si>
    <t>[Contabilidade] Analista Contábil Júnior (CRC ativo)</t>
  </si>
  <si>
    <t>Remote</t>
  </si>
  <si>
    <t>BR</t>
  </si>
  <si>
    <t>[Expert] Analista de Operações Financeiras Junior - Notas Fiscais (LP)</t>
  </si>
  <si>
    <t>[Expert] Assistente de Operações Financeiras (Notas Fiscais)</t>
  </si>
  <si>
    <t>KPMG</t>
  </si>
  <si>
    <t>Consultor Júnior de Finance Transformation</t>
  </si>
  <si>
    <t>Aché</t>
  </si>
  <si>
    <t>Cia de Talentos</t>
  </si>
  <si>
    <t>Não</t>
  </si>
  <si>
    <t>Estágio — Área a confirmar</t>
  </si>
  <si>
    <t>Programa de Estágio Aché 2026</t>
  </si>
  <si>
    <t>Estágio Superior</t>
  </si>
  <si>
    <t>Diversas</t>
  </si>
  <si>
    <t>localidade não declarada — confirmar se contempla Brasília-DF ou remoto; programa generalista — confirmar se a área contempla Financeiro/Dados</t>
  </si>
  <si>
    <t>Dow</t>
  </si>
  <si>
    <t>Programa de Estágio Dow 2026</t>
  </si>
  <si>
    <t>GDM</t>
  </si>
  <si>
    <t>Trainee — Área a confirmar</t>
  </si>
  <si>
    <t>Programa de Trainee GDM 2026</t>
  </si>
  <si>
    <t>Trainee</t>
  </si>
  <si>
    <t>Grupo Edson Queiroz</t>
  </si>
  <si>
    <t>Programa de Trainee GEQ 2026</t>
  </si>
  <si>
    <t>Hitachi Energy</t>
  </si>
  <si>
    <t>Programa de Trainee Hitachi Energy 2026</t>
  </si>
  <si>
    <t>Kerry</t>
  </si>
  <si>
    <t>Programa de Trainee Kerry 2026</t>
  </si>
  <si>
    <t>LíDERNEGRA</t>
  </si>
  <si>
    <t>Programa de Mentoria LÍDERNEGRA | 6ª Edição</t>
  </si>
  <si>
    <t>PwC</t>
  </si>
  <si>
    <t>Nova Geração PwC 2026</t>
  </si>
  <si>
    <t>TSEA Energia</t>
  </si>
  <si>
    <t>Programa de Trainee TSEA 2026</t>
  </si>
  <si>
    <t>Alldax - Grupo 3/SA</t>
  </si>
  <si>
    <t>Empregare</t>
  </si>
  <si>
    <t>Analista Financeiro I</t>
  </si>
  <si>
    <t>Presencial</t>
  </si>
  <si>
    <t>Brasília, DF, BR</t>
  </si>
  <si>
    <t>Assistente Financeiro</t>
  </si>
  <si>
    <t>ELLOS INDUSTRIA E COMERCIO DE MOVEIS LTDA</t>
  </si>
  <si>
    <t>Ceilândia - Brasília, DF, BR</t>
  </si>
  <si>
    <t>EMPRESA CONFIDENCIAL</t>
  </si>
  <si>
    <t>Assistente Financeiro - Conciliação Bancária</t>
  </si>
  <si>
    <t>GRUPO ALTEVITA</t>
  </si>
  <si>
    <t>ASSISTENTE CONTABIL</t>
  </si>
  <si>
    <t>Grupo Mantevida</t>
  </si>
  <si>
    <t>Assistente Financeiro(a) - Negociação</t>
  </si>
  <si>
    <t>INSTITUTO ARIA LTDA</t>
  </si>
  <si>
    <t>PLANETA VEICULOS LTDA</t>
  </si>
  <si>
    <t>AUXILIAR FINANCEIRO</t>
  </si>
  <si>
    <t>SIA - Brasília, DF, BR</t>
  </si>
  <si>
    <t>Soma Desenvolvimento Humano</t>
  </si>
  <si>
    <t>Assistente Administrativo Financeiro</t>
  </si>
  <si>
    <t>Diamante Energia</t>
  </si>
  <si>
    <t>Programa Trainee Diamante Energia — Programa Trainee Diamante Energia</t>
  </si>
  <si>
    <t>presencial</t>
  </si>
  <si>
    <t>Equinor</t>
  </si>
  <si>
    <t>Estágio em Pesquisa e Desenvolvimento - Geociências e Dados — Programa de Estágio Equinor 2026</t>
  </si>
  <si>
    <t>hibrido</t>
  </si>
  <si>
    <t>Estágio em Tributário e Tesouraria — Programa de Estágio Equinor 2026</t>
  </si>
  <si>
    <t>Estágio em Contabilidade, Relatórios e Compliance — Programa de Estágio Equinor 2026</t>
  </si>
  <si>
    <t>Estágio em Finanças e Controladoria — Programa de Estágio Equinor 2026</t>
  </si>
  <si>
    <t>Estágio em Finanças e Conformidade Regulatória — Programa de Estágio Equinor 2026</t>
  </si>
  <si>
    <t>L'Oréal</t>
  </si>
  <si>
    <t>Trainee L'Oréal — Programa Trainee L'Oréal seedZ</t>
  </si>
  <si>
    <t>Nestlé</t>
  </si>
  <si>
    <t>Trainee em Tecnologia e Digital — Programa Trainee Nestlé 2027</t>
  </si>
  <si>
    <t>Trainee — Mercado Financeiro</t>
  </si>
  <si>
    <t>Trainee em Finanças — Programa Trainee Nestlé 2027</t>
  </si>
  <si>
    <t>Stellantis</t>
  </si>
  <si>
    <t>Estágio Stellantis 2026 — Programa de Estágio Stellantis 2026</t>
  </si>
  <si>
    <t>MG, PE, PB, SP, RJ, DF, PR, MG</t>
  </si>
  <si>
    <t>programa generalista — confirmar se a área contempla Financeiro/Dados</t>
  </si>
  <si>
    <t>conexaotalentos</t>
  </si>
  <si>
    <t>Analista Financeiro JR</t>
  </si>
  <si>
    <t>Instituto Infnet - venha fazer parte da equipe!</t>
  </si>
  <si>
    <t>Growth Analyst / Analista de Growth</t>
  </si>
  <si>
    <t>Assistente de Growth Marketing (Inbound / Outbound)</t>
  </si>
  <si>
    <t>Instituto Infnet - Venha ser estagiário ou trainee!</t>
  </si>
  <si>
    <t>Trainee em Controladoria e Sistemas</t>
  </si>
  <si>
    <t>Jornada de Talentos</t>
  </si>
  <si>
    <t>Analista Financeiro de Cobrança Júnior</t>
  </si>
  <si>
    <t>Magnum Tires</t>
  </si>
  <si>
    <t>Analista de Negócios Jr - Brasília/DF</t>
  </si>
  <si>
    <t>on-site</t>
  </si>
  <si>
    <t>Brasília / Distrito Federal / Brasil</t>
  </si>
  <si>
    <t>Rede Américas</t>
  </si>
  <si>
    <t>Analista Financeiro Operacional Jr - Hospital Aguas Claras</t>
  </si>
  <si>
    <t>Distrito Federal / Brasil</t>
  </si>
  <si>
    <t>Grupo Saga</t>
  </si>
  <si>
    <t>Assistente de Controladoria</t>
  </si>
  <si>
    <t>Nomad</t>
  </si>
  <si>
    <t>Analista de Operações I (Cartão de Crédito)</t>
  </si>
  <si>
    <t>Tem Gupy?</t>
  </si>
  <si>
    <t>Pagina Gupy</t>
  </si>
  <si>
    <t>Tem InHire?</t>
  </si>
  <si>
    <t>Pagina InHire</t>
  </si>
  <si>
    <t>Total Vagas InHire</t>
  </si>
  <si>
    <t>Aarin</t>
  </si>
  <si>
    <t>Ábaco Tecnologia de Informação</t>
  </si>
  <si>
    <t>Adyen</t>
  </si>
  <si>
    <t>Afya</t>
  </si>
  <si>
    <t>Afya Educacional</t>
  </si>
  <si>
    <t>Agência Global</t>
  </si>
  <si>
    <t>Agência Zetta</t>
  </si>
  <si>
    <t>Agile Content</t>
  </si>
  <si>
    <t>Agilize</t>
  </si>
  <si>
    <t>Agriness</t>
  </si>
  <si>
    <t>Akross</t>
  </si>
  <si>
    <t>Alelo</t>
  </si>
  <si>
    <t>Algar Tech</t>
  </si>
  <si>
    <t>Alice</t>
  </si>
  <si>
    <t>Alpargatas</t>
  </si>
  <si>
    <t>Alterdata Software</t>
  </si>
  <si>
    <t>Alura</t>
  </si>
  <si>
    <t>AMARO</t>
  </si>
  <si>
    <t>Ambev</t>
  </si>
  <si>
    <t>AMCOM</t>
  </si>
  <si>
    <t>Ame Digital</t>
  </si>
  <si>
    <t>Amparo Saúde</t>
  </si>
  <si>
    <t>Anheuser-Busch InBev</t>
  </si>
  <si>
    <t>Arquivei</t>
  </si>
  <si>
    <t>Asap Log</t>
  </si>
  <si>
    <t>Atento</t>
  </si>
  <si>
    <t>Ativa</t>
  </si>
  <si>
    <t>Auvo</t>
  </si>
  <si>
    <t>Avenue</t>
  </si>
  <si>
    <t>Avita</t>
  </si>
  <si>
    <t>Avivatec</t>
  </si>
  <si>
    <t>Banco Bmg</t>
  </si>
  <si>
    <t>Banco Bv/Votorantim</t>
  </si>
  <si>
    <t>Banco Daycoval</t>
  </si>
  <si>
    <t>Banco Original</t>
  </si>
  <si>
    <t>Banco Pine</t>
  </si>
  <si>
    <t>Banco Sofisa</t>
  </si>
  <si>
    <t>Banco Yamaha Motor Do Brasil</t>
  </si>
  <si>
    <t>Bancorbrás</t>
  </si>
  <si>
    <t>Beleza na Web</t>
  </si>
  <si>
    <t>Bemobi</t>
  </si>
  <si>
    <t>Bionexo</t>
  </si>
  <si>
    <t>Boa Vista</t>
  </si>
  <si>
    <t>Brasilprev</t>
  </si>
  <si>
    <t>BRQ</t>
  </si>
  <si>
    <t>Burger King</t>
  </si>
  <si>
    <t>C6 Bank</t>
  </si>
  <si>
    <t>Cabonnet</t>
  </si>
  <si>
    <t>Cadmus</t>
  </si>
  <si>
    <t>Caju</t>
  </si>
  <si>
    <t>CERC</t>
  </si>
  <si>
    <t>CERC Central de Recebíveis</t>
  </si>
  <si>
    <t>CESAR</t>
  </si>
  <si>
    <t>Cia. Hering</t>
  </si>
  <si>
    <t>Cielo</t>
  </si>
  <si>
    <t>Clearsale</t>
  </si>
  <si>
    <t>ClearSale</t>
  </si>
  <si>
    <t>ClickBus</t>
  </si>
  <si>
    <t>Cobli</t>
  </si>
  <si>
    <t>Cogna</t>
  </si>
  <si>
    <t>Conductor</t>
  </si>
  <si>
    <t>Conexia Educação</t>
  </si>
  <si>
    <t>Confitec</t>
  </si>
  <si>
    <t>Conquer</t>
  </si>
  <si>
    <t>Conta Azul</t>
  </si>
  <si>
    <t>Convenia</t>
  </si>
  <si>
    <t>Cora</t>
  </si>
  <si>
    <t>CoreBiz</t>
  </si>
  <si>
    <t>Cortex</t>
  </si>
  <si>
    <t>Creditas</t>
  </si>
  <si>
    <t>Cruzeiro do Sul Educacional</t>
  </si>
  <si>
    <t>CSP Tecnologia</t>
  </si>
  <si>
    <t>CSU CardSystem</t>
  </si>
  <si>
    <t>Cubos</t>
  </si>
  <si>
    <t>CVC CORP</t>
  </si>
  <si>
    <t>Dafiti</t>
  </si>
  <si>
    <t>DB1</t>
  </si>
  <si>
    <t>Deal</t>
  </si>
  <si>
    <t>Decolar.com</t>
  </si>
  <si>
    <t>Delivery Much</t>
  </si>
  <si>
    <t>Digio</t>
  </si>
  <si>
    <t>Digix Soluções em TI</t>
  </si>
  <si>
    <t>Dock</t>
  </si>
  <si>
    <t>Docket</t>
  </si>
  <si>
    <t>dot-digital-group</t>
  </si>
  <si>
    <t>Dotz</t>
  </si>
  <si>
    <t>dti digital</t>
  </si>
  <si>
    <t>e-Core</t>
  </si>
  <si>
    <t>Ebanx</t>
  </si>
  <si>
    <t>Econet Editora Empresarial</t>
  </si>
  <si>
    <t>Edenred Brasil</t>
  </si>
  <si>
    <t>EloGroup</t>
  </si>
  <si>
    <t>Enjoei</t>
  </si>
  <si>
    <t>ePharma - Inovação, Integração e Cuidado em Saúde</t>
  </si>
  <si>
    <t>Evino</t>
  </si>
  <si>
    <t>Exati Tecnologia</t>
  </si>
  <si>
    <t>Extreme Digital Solutions - EDS</t>
  </si>
  <si>
    <t>FALCONI</t>
  </si>
  <si>
    <t>Fast Shop</t>
  </si>
  <si>
    <t>Fbiz</t>
  </si>
  <si>
    <t>Fcamara</t>
  </si>
  <si>
    <t>FItec</t>
  </si>
  <si>
    <t>Flash</t>
  </si>
  <si>
    <t>FORTLEV</t>
  </si>
  <si>
    <t>Gamers Club</t>
  </si>
  <si>
    <t>Gauge Digital Consulting</t>
  </si>
  <si>
    <t>GAVB</t>
  </si>
  <si>
    <t>Genial Investimentos</t>
  </si>
  <si>
    <t>Gerdau</t>
  </si>
  <si>
    <t>Global Hitss</t>
  </si>
  <si>
    <t>GPA</t>
  </si>
  <si>
    <t>Grupo Boticário</t>
  </si>
  <si>
    <t>Grupo FCamara</t>
  </si>
  <si>
    <t>Grupo MAG</t>
  </si>
  <si>
    <t>Harpia Cloud</t>
  </si>
  <si>
    <t>HBSIS</t>
  </si>
  <si>
    <t>HDI Seguros</t>
  </si>
  <si>
    <t>Hering</t>
  </si>
  <si>
    <t>HI Platform</t>
  </si>
  <si>
    <t>Hub Fintech</t>
  </si>
  <si>
    <t>Icatu Seguros</t>
  </si>
  <si>
    <t>Idwall</t>
  </si>
  <si>
    <t>iFood</t>
  </si>
  <si>
    <t>Impulso</t>
  </si>
  <si>
    <t>Inmetrics</t>
  </si>
  <si>
    <t>InstaCarro.com</t>
  </si>
  <si>
    <t>Instituto de Pesquisas Eldorado</t>
  </si>
  <si>
    <t>Intelipost</t>
  </si>
  <si>
    <t>Inter</t>
  </si>
  <si>
    <t>Invillia</t>
  </si>
  <si>
    <t>Involves</t>
  </si>
  <si>
    <t>ish-tecnologia</t>
  </si>
  <si>
    <t>IT Mídia</t>
  </si>
  <si>
    <t>Iteris Consultoria e Software</t>
  </si>
  <si>
    <t>Kantar IBOPE Media</t>
  </si>
  <si>
    <t>Konecta Brasil</t>
  </si>
  <si>
    <t>Kovi</t>
  </si>
  <si>
    <t>Labi Exames</t>
  </si>
  <si>
    <t>Lastlink</t>
  </si>
  <si>
    <t>Leega</t>
  </si>
  <si>
    <t>Lello</t>
  </si>
  <si>
    <t>Linx</t>
  </si>
  <si>
    <t>Listo</t>
  </si>
  <si>
    <t>Livelo</t>
  </si>
  <si>
    <t>Localiza Hertz</t>
  </si>
  <si>
    <t>Loft</t>
  </si>
  <si>
    <t>Loggi</t>
  </si>
  <si>
    <t>Lojas Renner S.A.</t>
  </si>
  <si>
    <t>Looqbox</t>
  </si>
  <si>
    <t>M4U</t>
  </si>
  <si>
    <t>Magazine Luiza</t>
  </si>
  <si>
    <t>Magna Sistemas</t>
  </si>
  <si>
    <t>Mandaê</t>
  </si>
  <si>
    <t>Matera</t>
  </si>
  <si>
    <t>Mazzatech Systems &amp; Outsourcing</t>
  </si>
  <si>
    <t>Meliuz</t>
  </si>
  <si>
    <t>Mercado Eletrônico</t>
  </si>
  <si>
    <t>Mlabs</t>
  </si>
  <si>
    <t>Mobit Brasil Ltda</t>
  </si>
  <si>
    <t>Montreal Oficial</t>
  </si>
  <si>
    <t>Movida</t>
  </si>
  <si>
    <t>Mundiale</t>
  </si>
  <si>
    <t>mundipagg</t>
  </si>
  <si>
    <t>Mutant</t>
  </si>
  <si>
    <t>Neogrid</t>
  </si>
  <si>
    <t>Neoway</t>
  </si>
  <si>
    <t>Nexaas</t>
  </si>
  <si>
    <t>Nexxera</t>
  </si>
  <si>
    <t>Nibo</t>
  </si>
  <si>
    <t>Nodis</t>
  </si>
  <si>
    <t>Nova escola</t>
  </si>
  <si>
    <t>Nubank</t>
  </si>
  <si>
    <t>Nuvemshop</t>
  </si>
  <si>
    <t>Objective Solutions</t>
  </si>
  <si>
    <t>Olist</t>
  </si>
  <si>
    <t>Open English</t>
  </si>
  <si>
    <t>Open Labs SA</t>
  </si>
  <si>
    <t>Orbia</t>
  </si>
  <si>
    <t>Orizon</t>
  </si>
  <si>
    <t>Padtec S/A</t>
  </si>
  <si>
    <t>Pagar.me</t>
  </si>
  <si>
    <t>Pagseguro Pagbank</t>
  </si>
  <si>
    <t>Paipe Tecnologia e Inovação</t>
  </si>
  <si>
    <t>Passei Direto</t>
  </si>
  <si>
    <t>Phoebus</t>
  </si>
  <si>
    <t>Pitang</t>
  </si>
  <si>
    <t>Pitzi</t>
  </si>
  <si>
    <t>Porto Seguro</t>
  </si>
  <si>
    <t>Positivo</t>
  </si>
  <si>
    <t>Pravaler</t>
  </si>
  <si>
    <t>Radix</t>
  </si>
  <si>
    <t>Raro Labs</t>
  </si>
  <si>
    <t>Reclame aqui</t>
  </si>
  <si>
    <t>Rede Globo</t>
  </si>
  <si>
    <t>Remessa Online</t>
  </si>
  <si>
    <t>Repassa</t>
  </si>
  <si>
    <t>RNP</t>
  </si>
  <si>
    <t>Samsung SDS</t>
  </si>
  <si>
    <t>Sciensa</t>
  </si>
  <si>
    <t>Semantix</t>
  </si>
  <si>
    <t>SiDi</t>
  </si>
  <si>
    <t>Sidia Instituto de Ciência e Tecnologia</t>
  </si>
  <si>
    <t>Sky.one</t>
  </si>
  <si>
    <t>Smart Fit</t>
  </si>
  <si>
    <t>Softplan Planejamento e Sistemas</t>
  </si>
  <si>
    <t>Solutis Tecnologias</t>
  </si>
  <si>
    <t>Spread Tecnologia</t>
  </si>
  <si>
    <t>Stefanini</t>
  </si>
  <si>
    <t>Stone</t>
  </si>
  <si>
    <t>Superlógica Tecnologias</t>
  </si>
  <si>
    <t>Taking</t>
  </si>
  <si>
    <t>target-sistemas</t>
  </si>
  <si>
    <t>Tecban</t>
  </si>
  <si>
    <t>Techlead IT Solutions</t>
  </si>
  <si>
    <t>Telemont</t>
  </si>
  <si>
    <t>tembici.</t>
  </si>
  <si>
    <t>Tempest Security Intelligence</t>
  </si>
  <si>
    <t>TEMPO ASSIST</t>
  </si>
  <si>
    <t>Tinnova</t>
  </si>
  <si>
    <t>Tokio Marine</t>
  </si>
  <si>
    <t>TOTVS</t>
  </si>
  <si>
    <t>Toyota do Brasil</t>
  </si>
  <si>
    <t>TQI</t>
  </si>
  <si>
    <t>Tray Plataforma de E-commerce</t>
  </si>
  <si>
    <t>Trinca</t>
  </si>
  <si>
    <t>TruckPad</t>
  </si>
  <si>
    <t>Turbi</t>
  </si>
  <si>
    <t>Uello</t>
  </si>
  <si>
    <t>Unico IDTech</t>
  </si>
  <si>
    <t>UOL</t>
  </si>
  <si>
    <t>UOL EdTech</t>
  </si>
  <si>
    <t>Vagas.com</t>
  </si>
  <si>
    <t>Venturus</t>
  </si>
  <si>
    <t>Vertem</t>
  </si>
  <si>
    <t>vhsys - Sistema de Gestão Empresarial</t>
  </si>
  <si>
    <t>Viasoft</t>
  </si>
  <si>
    <t>Vivo (Telefônica Brasil)</t>
  </si>
  <si>
    <t>Warren</t>
  </si>
  <si>
    <t>Webjump</t>
  </si>
  <si>
    <t>Webmotors</t>
  </si>
  <si>
    <t>Winnin</t>
  </si>
  <si>
    <t>Wiz Soluções</t>
  </si>
  <si>
    <t>XP Investimentos</t>
  </si>
  <si>
    <t>Z Tech</t>
  </si>
  <si>
    <t>Zee.Dog</t>
  </si>
  <si>
    <t>Zup Innovation</t>
  </si>
  <si>
    <t>Total de Vagas Abertas</t>
  </si>
  <si>
    <t>Pagina de Carreiras</t>
  </si>
  <si>
    <t>V4 Company</t>
  </si>
  <si>
    <t>Vitru Educação</t>
  </si>
  <si>
    <t>Grupo Comolatti</t>
  </si>
  <si>
    <t>Priner</t>
  </si>
  <si>
    <t>Demo</t>
  </si>
  <si>
    <t>Deloitte</t>
  </si>
  <si>
    <t>Saúde do TEA</t>
  </si>
  <si>
    <t xml:space="preserve">Grupo Protege </t>
  </si>
  <si>
    <t>Essencial Nutrição</t>
  </si>
  <si>
    <t>Grupo Lider</t>
  </si>
  <si>
    <t>Pantheon</t>
  </si>
  <si>
    <t>Hilton Brasil</t>
  </si>
  <si>
    <t>Infotec Brasil</t>
  </si>
  <si>
    <t>Ninecon</t>
  </si>
  <si>
    <t>ICON Solutions do Brasil</t>
  </si>
  <si>
    <t>Mottu</t>
  </si>
  <si>
    <t>Gogroup</t>
  </si>
  <si>
    <t>Viseu Secondment</t>
  </si>
  <si>
    <t>Clam</t>
  </si>
  <si>
    <t>Insider Store</t>
  </si>
  <si>
    <t>AGROSearch</t>
  </si>
  <si>
    <t>vocedm</t>
  </si>
  <si>
    <t>Pedra Agroindustrial</t>
  </si>
  <si>
    <t>Sympla</t>
  </si>
  <si>
    <t>Zerezes</t>
  </si>
  <si>
    <t>Brivia</t>
  </si>
  <si>
    <t>Framework</t>
  </si>
  <si>
    <t>Premiersoft</t>
  </si>
  <si>
    <t>DUX Company</t>
  </si>
  <si>
    <t>Westwing Brasil</t>
  </si>
  <si>
    <t>ASA</t>
  </si>
  <si>
    <t>MENA</t>
  </si>
  <si>
    <t>Poliedro Educação</t>
  </si>
  <si>
    <t>Qeevo</t>
  </si>
  <si>
    <t>Bequest Academy</t>
  </si>
  <si>
    <t>EQI</t>
  </si>
  <si>
    <t>QI Tech</t>
  </si>
  <si>
    <t>Asper</t>
  </si>
  <si>
    <t>Grupo AG Capital</t>
  </si>
  <si>
    <t>Lyncas</t>
  </si>
  <si>
    <t>Oliveira &amp; Antunes Advogados Associados</t>
  </si>
  <si>
    <t>FiberHome Brasil</t>
  </si>
  <si>
    <t>Grupo LOS</t>
  </si>
  <si>
    <t>Schulze</t>
  </si>
  <si>
    <t>SRM</t>
  </si>
  <si>
    <t>Sylvamo</t>
  </si>
  <si>
    <t>GVC</t>
  </si>
  <si>
    <t>Sanar</t>
  </si>
  <si>
    <t>Appmax</t>
  </si>
  <si>
    <t>Seu Estágio</t>
  </si>
  <si>
    <t>TalentX Digital</t>
  </si>
  <si>
    <t>Paytrack</t>
  </si>
  <si>
    <t>tecer</t>
  </si>
  <si>
    <t>LiveMode</t>
  </si>
  <si>
    <t>Magazord</t>
  </si>
  <si>
    <t>Melnick</t>
  </si>
  <si>
    <t>Luby</t>
  </si>
  <si>
    <t>Trinnus RH</t>
  </si>
  <si>
    <t>iHunters</t>
  </si>
  <si>
    <t>Anhembi</t>
  </si>
  <si>
    <t>Solfácil</t>
  </si>
  <si>
    <t>BIX Tecnologia - Consultoria de Dados</t>
  </si>
  <si>
    <t>CredAluga</t>
  </si>
  <si>
    <t>RH Lótus Solution</t>
  </si>
  <si>
    <t>Zallpy Digital</t>
  </si>
  <si>
    <t>Betha</t>
  </si>
  <si>
    <t>Fretadão</t>
  </si>
  <si>
    <t>Rentcars</t>
  </si>
  <si>
    <t>Aline Maineri Consultoria RH (TRD)</t>
  </si>
  <si>
    <t>EVEO</t>
  </si>
  <si>
    <t>ASCAS</t>
  </si>
  <si>
    <t>Construtora Elevação</t>
  </si>
  <si>
    <t>Ligga</t>
  </si>
  <si>
    <t>Stoque</t>
  </si>
  <si>
    <t>Tecsul</t>
  </si>
  <si>
    <t>Wilson Sons Offshore</t>
  </si>
  <si>
    <t>WINDCRAFT</t>
  </si>
  <si>
    <t>Zappts</t>
  </si>
  <si>
    <t xml:space="preserve">Ável </t>
  </si>
  <si>
    <t>Cescon Barrieu</t>
  </si>
  <si>
    <t>GCB</t>
  </si>
  <si>
    <t>Grupo Autoglass</t>
  </si>
  <si>
    <t>Guaracamp</t>
  </si>
  <si>
    <t>MK Solutions</t>
  </si>
  <si>
    <t>Turbo</t>
  </si>
  <si>
    <t>CTC</t>
  </si>
  <si>
    <t>Eclipseworks</t>
  </si>
  <si>
    <t>FIAP</t>
  </si>
  <si>
    <t>IDG</t>
  </si>
  <si>
    <t>Octafy</t>
  </si>
  <si>
    <t>Vórtx</t>
  </si>
  <si>
    <t>Yandeh</t>
  </si>
  <si>
    <t>CashMe</t>
  </si>
  <si>
    <t>CRMBonus</t>
  </si>
  <si>
    <t>Fitting</t>
  </si>
  <si>
    <t>Flutter Brazil</t>
  </si>
  <si>
    <t>GoFlow Consultoria</t>
  </si>
  <si>
    <t>Leader &amp; Talent</t>
  </si>
  <si>
    <t>LWSA</t>
  </si>
  <si>
    <t>Segura®</t>
  </si>
  <si>
    <t>Infleet</t>
  </si>
  <si>
    <t>Lemon Energia</t>
  </si>
  <si>
    <t>Yolo Recruit</t>
  </si>
  <si>
    <t>Essence</t>
  </si>
  <si>
    <t>J.Assy</t>
  </si>
  <si>
    <t>Pottencial</t>
  </si>
  <si>
    <t>Procfit</t>
  </si>
  <si>
    <t>Qive</t>
  </si>
  <si>
    <t>Zig</t>
  </si>
  <si>
    <t>BR MotorSport</t>
  </si>
  <si>
    <t>Conx</t>
  </si>
  <si>
    <t>Grupo GCB</t>
  </si>
  <si>
    <t>Heads</t>
  </si>
  <si>
    <t>Petit.RH</t>
  </si>
  <si>
    <t>Portofino Multi    Family Office</t>
  </si>
  <si>
    <t>RIOgaleão</t>
  </si>
  <si>
    <t>TPGROUP</t>
  </si>
  <si>
    <t>Kstack</t>
  </si>
  <si>
    <t>LFA Advogados</t>
  </si>
  <si>
    <t>Movecta</t>
  </si>
  <si>
    <t>Think IT</t>
  </si>
  <si>
    <t>Union IT</t>
  </si>
  <si>
    <t>VRental</t>
  </si>
  <si>
    <t>aTip</t>
  </si>
  <si>
    <t>Barros &amp; Advogados</t>
  </si>
  <si>
    <t xml:space="preserve">Cayena </t>
  </si>
  <si>
    <t>Cidadania Já</t>
  </si>
  <si>
    <t>Clavis</t>
  </si>
  <si>
    <t>DBServices</t>
  </si>
  <si>
    <t>DQR Tech</t>
  </si>
  <si>
    <t>FSB Holding</t>
  </si>
  <si>
    <t>GEO3D ENGENHARIA DE MAPEAMENTO</t>
  </si>
  <si>
    <t>M7 Soluções Financeiras</t>
  </si>
  <si>
    <t>Praso</t>
  </si>
  <si>
    <t>QuickSoft</t>
  </si>
  <si>
    <t>Same Engenharia</t>
  </si>
  <si>
    <t>Seguros SURA</t>
  </si>
  <si>
    <t>Vem ser GX2</t>
  </si>
  <si>
    <t>Vertigo Tecnologia</t>
  </si>
  <si>
    <t>Automind</t>
  </si>
  <si>
    <t>Bridge &amp; Co.</t>
  </si>
  <si>
    <t>coaktion</t>
  </si>
  <si>
    <t>CrediPronto</t>
  </si>
  <si>
    <t>Dartz Ideal Recruitment</t>
  </si>
  <si>
    <t>EXA</t>
  </si>
  <si>
    <t>FacilitaPay</t>
  </si>
  <si>
    <t>FRICON Brasil</t>
  </si>
  <si>
    <t>GuiaInvest</t>
  </si>
  <si>
    <t>Kanastra</t>
  </si>
  <si>
    <t>Koopere</t>
  </si>
  <si>
    <t>Luzandreya Consultoria e Assessoria de RH</t>
  </si>
  <si>
    <t>Medway</t>
  </si>
  <si>
    <t>NTS Brasil</t>
  </si>
  <si>
    <t>Pier Seguradora</t>
  </si>
  <si>
    <t>Seventh</t>
  </si>
  <si>
    <t>Ume</t>
  </si>
  <si>
    <t>Unitech</t>
  </si>
  <si>
    <t>V360</t>
  </si>
  <si>
    <t>wehandle</t>
  </si>
  <si>
    <t>2Future</t>
  </si>
  <si>
    <t>Atlas</t>
  </si>
  <si>
    <t>Autopass</t>
  </si>
  <si>
    <t>Bankme.</t>
  </si>
  <si>
    <t>CAF</t>
  </si>
  <si>
    <t>Carbigdata</t>
  </si>
  <si>
    <t>Construtora Patriani</t>
  </si>
  <si>
    <t>EDGE</t>
  </si>
  <si>
    <t>erural</t>
  </si>
  <si>
    <t>Farmtech</t>
  </si>
  <si>
    <t>Fleming Educação</t>
  </si>
  <si>
    <t>GEX</t>
  </si>
  <si>
    <t>Global System</t>
  </si>
  <si>
    <t>Grupo 3C</t>
  </si>
  <si>
    <t>Indicium</t>
  </si>
  <si>
    <t>Miner Tecnologia</t>
  </si>
  <si>
    <t>Pipo Saúde</t>
  </si>
  <si>
    <t>Rentbrella</t>
  </si>
  <si>
    <t>Sancor Seguros</t>
  </si>
  <si>
    <t>Sotran</t>
  </si>
  <si>
    <t>TownSq</t>
  </si>
  <si>
    <t>UPDA</t>
  </si>
  <si>
    <t>Wevy</t>
  </si>
  <si>
    <t>Azos</t>
  </si>
  <si>
    <t>Grupo Food Nation</t>
  </si>
  <si>
    <t>IORQ</t>
  </si>
  <si>
    <t>Lumine</t>
  </si>
  <si>
    <t>MOTIM</t>
  </si>
  <si>
    <t>Programmers - AI, Data &amp; Software</t>
  </si>
  <si>
    <t>RankMyApp</t>
  </si>
  <si>
    <t>Seazone</t>
  </si>
  <si>
    <t>Tripla</t>
  </si>
  <si>
    <t>Ubots</t>
  </si>
  <si>
    <t>VerticalRH</t>
  </si>
  <si>
    <t>A.Dias</t>
  </si>
  <si>
    <t>Aiko</t>
  </si>
  <si>
    <t>AltoQi</t>
  </si>
  <si>
    <t>Atlântico</t>
  </si>
  <si>
    <t>Celcoin</t>
  </si>
  <si>
    <t>ecx</t>
  </si>
  <si>
    <t>Elements</t>
  </si>
  <si>
    <t>EstrelaBet</t>
  </si>
  <si>
    <t xml:space="preserve">Final Level </t>
  </si>
  <si>
    <t>Jaé</t>
  </si>
  <si>
    <t>Jeitto</t>
  </si>
  <si>
    <t>Quero Passagem</t>
  </si>
  <si>
    <t>Querodelivery</t>
  </si>
  <si>
    <t>Sunne</t>
  </si>
  <si>
    <t>Trinuscool</t>
  </si>
  <si>
    <t>Unimar</t>
  </si>
  <si>
    <t>5Ccompany</t>
  </si>
  <si>
    <t>Alloyal</t>
  </si>
  <si>
    <t>Blume Alimentos | OH! A Água</t>
  </si>
  <si>
    <t>Cinga Tech</t>
  </si>
  <si>
    <t>Fintalk</t>
  </si>
  <si>
    <t>Genyo</t>
  </si>
  <si>
    <t>Imaflora</t>
  </si>
  <si>
    <t>iSystems</t>
  </si>
  <si>
    <t>Kife</t>
  </si>
  <si>
    <t>klavi</t>
  </si>
  <si>
    <t>Kobe Apps</t>
  </si>
  <si>
    <t>LabWare</t>
  </si>
  <si>
    <t>Ocean Drop</t>
  </si>
  <si>
    <t>Sicredi</t>
  </si>
  <si>
    <t>Trampay</t>
  </si>
  <si>
    <t>Vixtra</t>
  </si>
  <si>
    <t>Aprix</t>
  </si>
  <si>
    <t>benup</t>
  </si>
  <si>
    <t>FindUP</t>
  </si>
  <si>
    <t>Foxbit</t>
  </si>
  <si>
    <t>Go Bravo</t>
  </si>
  <si>
    <t>GOPWR</t>
  </si>
  <si>
    <t>Grupo Ciranda Cultural</t>
  </si>
  <si>
    <t>Grupo Permaneo</t>
  </si>
  <si>
    <t>JOTA</t>
  </si>
  <si>
    <t>Kamino</t>
  </si>
  <si>
    <t>Laboclin</t>
  </si>
  <si>
    <t>Líber</t>
  </si>
  <si>
    <t>match.mt</t>
  </si>
  <si>
    <t>MATH</t>
  </si>
  <si>
    <t>Midhaus</t>
  </si>
  <si>
    <t>Rhitmo Tech</t>
  </si>
  <si>
    <t>Talentt</t>
  </si>
  <si>
    <t>UpFlux</t>
  </si>
  <si>
    <t>ASC Solutions</t>
  </si>
  <si>
    <t>Autom</t>
  </si>
  <si>
    <t>Cactus Gaming</t>
  </si>
  <si>
    <t>CAPEF</t>
  </si>
  <si>
    <t>Celero</t>
  </si>
  <si>
    <t>Crown</t>
  </si>
  <si>
    <t>dtLabs</t>
  </si>
  <si>
    <t>Emerge Ventures</t>
  </si>
  <si>
    <t>EnzRossi</t>
  </si>
  <si>
    <t>floraconsultoria</t>
  </si>
  <si>
    <t>Grupo Eximio</t>
  </si>
  <si>
    <t>Lightfarm</t>
  </si>
  <si>
    <t>Lima Consulting Group</t>
  </si>
  <si>
    <t>Mirum</t>
  </si>
  <si>
    <t>Nuvidio</t>
  </si>
  <si>
    <t>Ocean Health</t>
  </si>
  <si>
    <t>Silicon</t>
  </si>
  <si>
    <t>Softvaro</t>
  </si>
  <si>
    <t>Strm Music</t>
  </si>
  <si>
    <t>SuperFrete</t>
  </si>
  <si>
    <t>Tera</t>
  </si>
  <si>
    <t>Thunders Tecnologia</t>
  </si>
  <si>
    <t>VEM PRA TURMA</t>
  </si>
  <si>
    <t>Via</t>
  </si>
  <si>
    <t>Voltta</t>
  </si>
  <si>
    <t>Wellz by Wellhub</t>
  </si>
  <si>
    <t>180 Seguros</t>
  </si>
  <si>
    <t>ADVBOX - Software Jurídico</t>
  </si>
  <si>
    <t>Allintra</t>
  </si>
  <si>
    <t>App Facilita</t>
  </si>
  <si>
    <t>Banni</t>
  </si>
  <si>
    <t>BetMGM Brasil</t>
  </si>
  <si>
    <t>Big Data</t>
  </si>
  <si>
    <t>Bipa</t>
  </si>
  <si>
    <t>Breezy Seguros</t>
  </si>
  <si>
    <t>ChatGuru</t>
  </si>
  <si>
    <t>fluke</t>
  </si>
  <si>
    <t>GC Serviços</t>
  </si>
  <si>
    <t>IVENTIS</t>
  </si>
  <si>
    <t>Kiwify</t>
  </si>
  <si>
    <t>Mapa HDS</t>
  </si>
  <si>
    <t>Monkey</t>
  </si>
  <si>
    <t>Principia</t>
  </si>
  <si>
    <t>Shape Digital</t>
  </si>
  <si>
    <t>sim.digital</t>
  </si>
  <si>
    <t>TC</t>
  </si>
  <si>
    <t>Ticket360</t>
  </si>
  <si>
    <t>Transfero</t>
  </si>
  <si>
    <t>Vatto</t>
  </si>
  <si>
    <t>Vinta</t>
  </si>
  <si>
    <t>Vockan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</si>
</sst>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97D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164" fontId="0" fillId="0" borderId="0" xfId="0" applyNumberFormat="1"/>
    <xf numFmtId="0" fontId="1" fillId="0" borderId="0" xfId="1"/>
    <xf numFmtId="0" fontId="2" fillId="2" borderId="0" xfId="0" applyFont="1" applyFill="1" applyAlignment="1">
      <alignment horizontal="center"/>
    </xf>
    <xf numFmtId="164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 wrapText="1"/>
    </xf>
    <xf numFmtId="0" fontId="0" fillId="0" borderId="0" xfId="0" applyAlignment="1">
      <alignment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1E613-4CE6-444B-8C62-2BA4FD02DCE6}">
  <dimension ref="A1:N47"/>
  <sheetViews>
    <sheetView tabSelected="1" workbookViewId="0">
      <pane ySplit="1" topLeftCell="A2" activePane="bottomLeft" state="frozenSplit"/>
      <selection pane="bottomLeft"/>
    </sheetView>
  </sheetViews>
  <sheetFormatPr defaultRowHeight="14.4" x14ac:dyDescent="0.3"/>
  <cols>
    <col min="1" max="1" width="22.77734375" customWidth="1"/>
    <col min="2" max="2" width="24.77734375" customWidth="1"/>
    <col min="3" max="3" width="11.77734375" customWidth="1"/>
    <col min="4" max="4" width="12.77734375" customWidth="1"/>
    <col min="5" max="5" width="26.77734375" customWidth="1"/>
    <col min="6" max="6" width="46.77734375" style="6" customWidth="1"/>
    <col min="7" max="7" width="10.77734375" customWidth="1"/>
    <col min="8" max="8" width="20.77734375" customWidth="1"/>
    <col min="9" max="9" width="42.77734375" customWidth="1"/>
    <col min="10" max="10" width="22.77734375" customWidth="1"/>
    <col min="11" max="12" width="12.77734375" style="1" customWidth="1"/>
    <col min="13" max="13" width="38.77734375" style="6" customWidth="1"/>
    <col min="14" max="14" width="14.77734375" style="1" customWidth="1"/>
  </cols>
  <sheetData>
    <row r="1" spans="1:14" ht="25.95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 t="s">
        <v>10</v>
      </c>
      <c r="L1" s="4" t="s">
        <v>11</v>
      </c>
      <c r="M1" s="5" t="s">
        <v>12</v>
      </c>
      <c r="N1" s="4" t="s">
        <v>13</v>
      </c>
    </row>
    <row r="2" spans="1:14" ht="28.8" x14ac:dyDescent="0.3">
      <c r="A2" t="s">
        <v>14</v>
      </c>
      <c r="B2" t="s">
        <v>15</v>
      </c>
      <c r="C2" t="s">
        <v>16</v>
      </c>
      <c r="D2" t="s">
        <v>17</v>
      </c>
      <c r="E2" t="s">
        <v>18</v>
      </c>
      <c r="F2" s="6" t="s">
        <v>19</v>
      </c>
      <c r="G2" t="s">
        <v>20</v>
      </c>
      <c r="H2" t="s">
        <v>21</v>
      </c>
      <c r="I2" s="2" t="str">
        <f>HYPERLINK("https://app.eureca.me/vagas/019f04c4-0b85-7fc6-9ff3-e3913efb6dee","Abrir")</f>
        <v>Abrir</v>
      </c>
      <c r="J2" t="s">
        <v>15</v>
      </c>
      <c r="K2" s="1">
        <v>46199</v>
      </c>
      <c r="L2" s="1">
        <v>46235</v>
      </c>
      <c r="M2" s="6" t="s">
        <v>22</v>
      </c>
      <c r="N2" s="1">
        <v>46232</v>
      </c>
    </row>
    <row r="3" spans="1:14" ht="28.8" x14ac:dyDescent="0.3">
      <c r="A3" t="s">
        <v>14</v>
      </c>
      <c r="B3" t="s">
        <v>15</v>
      </c>
      <c r="C3" t="s">
        <v>16</v>
      </c>
      <c r="D3" t="s">
        <v>17</v>
      </c>
      <c r="E3" t="s">
        <v>18</v>
      </c>
      <c r="F3" s="6" t="s">
        <v>23</v>
      </c>
      <c r="G3" t="s">
        <v>24</v>
      </c>
      <c r="H3" t="s">
        <v>25</v>
      </c>
      <c r="I3" s="2" t="str">
        <f>HYPERLINK("https://app.eureca.me/vagas/019f61fe-9ebb-7da2-bfff-849044c53887","Abrir")</f>
        <v>Abrir</v>
      </c>
      <c r="J3" t="s">
        <v>26</v>
      </c>
      <c r="K3" s="1">
        <v>46217</v>
      </c>
      <c r="L3" s="1">
        <v>46254</v>
      </c>
      <c r="N3" s="1">
        <v>46232</v>
      </c>
    </row>
    <row r="4" spans="1:14" ht="28.8" x14ac:dyDescent="0.3">
      <c r="A4" t="s">
        <v>14</v>
      </c>
      <c r="B4" t="s">
        <v>15</v>
      </c>
      <c r="C4" t="s">
        <v>16</v>
      </c>
      <c r="D4" t="s">
        <v>17</v>
      </c>
      <c r="E4" t="s">
        <v>27</v>
      </c>
      <c r="F4" s="6" t="s">
        <v>28</v>
      </c>
      <c r="G4" t="s">
        <v>20</v>
      </c>
      <c r="H4" t="s">
        <v>21</v>
      </c>
      <c r="I4" s="2" t="str">
        <f>HYPERLINK("https://app.eureca.me/vagas/019f0450-997e-7321-8d0a-43f1e4904f73","Abrir")</f>
        <v>Abrir</v>
      </c>
      <c r="J4" t="s">
        <v>15</v>
      </c>
      <c r="K4" s="1">
        <v>46199</v>
      </c>
      <c r="L4" s="1">
        <v>46235</v>
      </c>
      <c r="M4" s="6" t="s">
        <v>22</v>
      </c>
      <c r="N4" s="1">
        <v>46232</v>
      </c>
    </row>
    <row r="5" spans="1:14" x14ac:dyDescent="0.3">
      <c r="A5" t="s">
        <v>14</v>
      </c>
      <c r="B5" t="s">
        <v>29</v>
      </c>
      <c r="C5" t="s">
        <v>30</v>
      </c>
      <c r="D5" t="s">
        <v>17</v>
      </c>
      <c r="E5" t="s">
        <v>31</v>
      </c>
      <c r="F5" s="6" t="s">
        <v>32</v>
      </c>
      <c r="G5" t="s">
        <v>33</v>
      </c>
      <c r="H5" t="s">
        <v>34</v>
      </c>
      <c r="I5" s="2" t="str">
        <f>HYPERLINK("https://cadastra.gupy.io/job/eyJqb2JJZCI6MTE1ODgwNTUsInNvdXJjZSI6Imd1cHlfcG9ydGFsIn0=?jobBoardSource=gupy_portal","Abrir")</f>
        <v>Abrir</v>
      </c>
      <c r="J5" t="s">
        <v>35</v>
      </c>
      <c r="K5" s="1">
        <v>46209</v>
      </c>
      <c r="L5" s="1">
        <v>46269</v>
      </c>
      <c r="N5" s="1">
        <v>46218</v>
      </c>
    </row>
    <row r="6" spans="1:14" ht="28.8" x14ac:dyDescent="0.3">
      <c r="A6" t="s">
        <v>14</v>
      </c>
      <c r="B6" t="s">
        <v>36</v>
      </c>
      <c r="C6" t="s">
        <v>30</v>
      </c>
      <c r="D6" t="s">
        <v>17</v>
      </c>
      <c r="E6" t="s">
        <v>37</v>
      </c>
      <c r="F6" s="6" t="s">
        <v>38</v>
      </c>
      <c r="G6" t="s">
        <v>33</v>
      </c>
      <c r="H6" t="s">
        <v>39</v>
      </c>
      <c r="I6" s="2" t="str">
        <f>HYPERLINK("https://azzasfashion.gupy.io/job/eyJqb2JJZCI6MTE3NDQ5NTIsInNvdXJjZSI6Imd1cHlfcG9ydGFsIn0=?jobBoardSource=gupy_portal","Abrir")</f>
        <v>Abrir</v>
      </c>
      <c r="J6" t="s">
        <v>40</v>
      </c>
      <c r="K6" s="1">
        <v>46226</v>
      </c>
      <c r="L6" s="1">
        <v>46265</v>
      </c>
      <c r="N6" s="1">
        <v>46232</v>
      </c>
    </row>
    <row r="7" spans="1:14" x14ac:dyDescent="0.3">
      <c r="A7" t="s">
        <v>14</v>
      </c>
      <c r="B7" t="s">
        <v>41</v>
      </c>
      <c r="C7" t="s">
        <v>42</v>
      </c>
      <c r="D7" t="s">
        <v>17</v>
      </c>
      <c r="E7" t="s">
        <v>43</v>
      </c>
      <c r="F7" s="6" t="s">
        <v>44</v>
      </c>
      <c r="G7" t="s">
        <v>45</v>
      </c>
      <c r="H7" t="s">
        <v>46</v>
      </c>
      <c r="I7" s="2" t="str">
        <f>HYPERLINK("https://contabilizei.inhire.app/vagas/fc71c615-507b-4b02-89d0-d7033b2e6b0e/contabilidade-analista-contabil-junior-crc-ativo","Abrir")</f>
        <v>Abrir</v>
      </c>
      <c r="J7" t="s">
        <v>41</v>
      </c>
      <c r="N7" s="1">
        <v>46232</v>
      </c>
    </row>
    <row r="8" spans="1:14" ht="28.8" x14ac:dyDescent="0.3">
      <c r="A8" t="s">
        <v>14</v>
      </c>
      <c r="B8" t="s">
        <v>41</v>
      </c>
      <c r="C8" t="s">
        <v>42</v>
      </c>
      <c r="D8" t="s">
        <v>17</v>
      </c>
      <c r="E8" t="s">
        <v>43</v>
      </c>
      <c r="F8" s="6" t="s">
        <v>47</v>
      </c>
      <c r="G8" t="s">
        <v>45</v>
      </c>
      <c r="H8" t="s">
        <v>46</v>
      </c>
      <c r="I8" s="2" t="str">
        <f>HYPERLINK("https://contabilizei.inhire.app/vagas/84646b9e-d831-43a2-9db0-a04434ea0206/expert-analista-de-operacoes-financeiras-junior-notas-fiscais-lp","Abrir")</f>
        <v>Abrir</v>
      </c>
      <c r="J8" t="s">
        <v>41</v>
      </c>
      <c r="N8" s="1">
        <v>46232</v>
      </c>
    </row>
    <row r="9" spans="1:14" ht="28.8" x14ac:dyDescent="0.3">
      <c r="A9" t="s">
        <v>14</v>
      </c>
      <c r="B9" t="s">
        <v>41</v>
      </c>
      <c r="C9" t="s">
        <v>42</v>
      </c>
      <c r="D9" t="s">
        <v>17</v>
      </c>
      <c r="E9" t="s">
        <v>43</v>
      </c>
      <c r="F9" s="6" t="s">
        <v>48</v>
      </c>
      <c r="G9" t="s">
        <v>45</v>
      </c>
      <c r="H9" t="s">
        <v>46</v>
      </c>
      <c r="I9" s="2" t="str">
        <f>HYPERLINK("https://contabilizei.inhire.app/vagas/dd76143f-464a-4d3c-8330-3c84ee76763c/expert-assistente-de-operacoes-financeiras-notas-fiscais","Abrir")</f>
        <v>Abrir</v>
      </c>
      <c r="J9" t="s">
        <v>41</v>
      </c>
      <c r="N9" s="1">
        <v>46232</v>
      </c>
    </row>
    <row r="10" spans="1:14" x14ac:dyDescent="0.3">
      <c r="A10" t="s">
        <v>14</v>
      </c>
      <c r="B10" t="s">
        <v>49</v>
      </c>
      <c r="C10" t="s">
        <v>42</v>
      </c>
      <c r="D10" t="s">
        <v>17</v>
      </c>
      <c r="E10" t="s">
        <v>43</v>
      </c>
      <c r="F10" s="6" t="s">
        <v>50</v>
      </c>
      <c r="G10" t="s">
        <v>45</v>
      </c>
      <c r="H10" t="s">
        <v>46</v>
      </c>
      <c r="I10" s="2" t="str">
        <f>HYPERLINK("https://kpmg.inhire.app/vagas/c3466ef7-e680-4a1f-ab1a-a5934b46f5a6/consultor-junior-de-finance-transformation","Abrir")</f>
        <v>Abrir</v>
      </c>
      <c r="J10" t="s">
        <v>49</v>
      </c>
      <c r="N10" s="1">
        <v>46232</v>
      </c>
    </row>
    <row r="11" spans="1:14" ht="57.6" x14ac:dyDescent="0.3">
      <c r="A11" t="s">
        <v>14</v>
      </c>
      <c r="B11" t="s">
        <v>51</v>
      </c>
      <c r="C11" t="s">
        <v>52</v>
      </c>
      <c r="D11" t="s">
        <v>53</v>
      </c>
      <c r="E11" t="s">
        <v>54</v>
      </c>
      <c r="F11" s="6" t="s">
        <v>55</v>
      </c>
      <c r="G11" t="s">
        <v>56</v>
      </c>
      <c r="H11" t="s">
        <v>57</v>
      </c>
      <c r="I11" s="2" t="str">
        <f>HYPERLINK("https://www.atsglobe.com/candidate-ui/#/login/candidacy-registration/3111","Abrir")</f>
        <v>Abrir</v>
      </c>
      <c r="J11" t="s">
        <v>51</v>
      </c>
      <c r="M11" s="6" t="s">
        <v>58</v>
      </c>
      <c r="N11" s="1">
        <v>46232</v>
      </c>
    </row>
    <row r="12" spans="1:14" ht="57.6" x14ac:dyDescent="0.3">
      <c r="A12" t="s">
        <v>14</v>
      </c>
      <c r="B12" t="s">
        <v>59</v>
      </c>
      <c r="C12" t="s">
        <v>52</v>
      </c>
      <c r="D12" t="s">
        <v>53</v>
      </c>
      <c r="E12" t="s">
        <v>54</v>
      </c>
      <c r="F12" s="6" t="s">
        <v>60</v>
      </c>
      <c r="G12" t="s">
        <v>56</v>
      </c>
      <c r="H12" t="s">
        <v>57</v>
      </c>
      <c r="I12" s="2" t="str">
        <f>HYPERLINK("https://www.atsglobe.com/candidate-ui/#/login/candidacy-registration/3023","Abrir")</f>
        <v>Abrir</v>
      </c>
      <c r="J12" t="s">
        <v>59</v>
      </c>
      <c r="M12" s="6" t="s">
        <v>58</v>
      </c>
      <c r="N12" s="1">
        <v>46232</v>
      </c>
    </row>
    <row r="13" spans="1:14" ht="57.6" x14ac:dyDescent="0.3">
      <c r="A13" t="s">
        <v>14</v>
      </c>
      <c r="B13" t="s">
        <v>61</v>
      </c>
      <c r="C13" t="s">
        <v>52</v>
      </c>
      <c r="D13" t="s">
        <v>53</v>
      </c>
      <c r="E13" t="s">
        <v>62</v>
      </c>
      <c r="F13" s="6" t="s">
        <v>63</v>
      </c>
      <c r="G13" t="s">
        <v>64</v>
      </c>
      <c r="H13" t="s">
        <v>57</v>
      </c>
      <c r="I13" s="2" t="str">
        <f>HYPERLINK("https://www.atsglobe.com/candidate-ui/#/login/candidacy-registration/3157","Abrir")</f>
        <v>Abrir</v>
      </c>
      <c r="J13" t="s">
        <v>61</v>
      </c>
      <c r="M13" s="6" t="s">
        <v>58</v>
      </c>
      <c r="N13" s="1">
        <v>46232</v>
      </c>
    </row>
    <row r="14" spans="1:14" ht="57.6" x14ac:dyDescent="0.3">
      <c r="A14" t="s">
        <v>14</v>
      </c>
      <c r="B14" t="s">
        <v>65</v>
      </c>
      <c r="C14" t="s">
        <v>52</v>
      </c>
      <c r="D14" t="s">
        <v>53</v>
      </c>
      <c r="E14" t="s">
        <v>62</v>
      </c>
      <c r="F14" s="6" t="s">
        <v>66</v>
      </c>
      <c r="G14" t="s">
        <v>64</v>
      </c>
      <c r="H14" t="s">
        <v>57</v>
      </c>
      <c r="I14" s="2" t="str">
        <f>HYPERLINK("https://www.atsglobe.com/candidate-ui/#/login/candidacy-registration/3145","Abrir")</f>
        <v>Abrir</v>
      </c>
      <c r="J14" t="s">
        <v>65</v>
      </c>
      <c r="M14" s="6" t="s">
        <v>58</v>
      </c>
      <c r="N14" s="1">
        <v>46232</v>
      </c>
    </row>
    <row r="15" spans="1:14" ht="57.6" x14ac:dyDescent="0.3">
      <c r="A15" t="s">
        <v>14</v>
      </c>
      <c r="B15" t="s">
        <v>67</v>
      </c>
      <c r="C15" t="s">
        <v>52</v>
      </c>
      <c r="D15" t="s">
        <v>53</v>
      </c>
      <c r="E15" t="s">
        <v>62</v>
      </c>
      <c r="F15" s="6" t="s">
        <v>68</v>
      </c>
      <c r="G15" t="s">
        <v>64</v>
      </c>
      <c r="H15" t="s">
        <v>57</v>
      </c>
      <c r="I15" s="2" t="str">
        <f>HYPERLINK("https://www.atsglobe.com/candidate-ui/#/login/candidacy-registration/3155","Abrir")</f>
        <v>Abrir</v>
      </c>
      <c r="J15" t="s">
        <v>67</v>
      </c>
      <c r="M15" s="6" t="s">
        <v>58</v>
      </c>
      <c r="N15" s="1">
        <v>46232</v>
      </c>
    </row>
    <row r="16" spans="1:14" ht="57.6" x14ac:dyDescent="0.3">
      <c r="A16" t="s">
        <v>14</v>
      </c>
      <c r="B16" t="s">
        <v>69</v>
      </c>
      <c r="C16" t="s">
        <v>52</v>
      </c>
      <c r="D16" t="s">
        <v>53</v>
      </c>
      <c r="E16" t="s">
        <v>62</v>
      </c>
      <c r="F16" s="6" t="s">
        <v>70</v>
      </c>
      <c r="G16" t="s">
        <v>64</v>
      </c>
      <c r="H16" t="s">
        <v>57</v>
      </c>
      <c r="I16" s="2" t="str">
        <f>HYPERLINK("https://www.atsglobe.com/candidate-ui/#/login/candidacy-registration/3125","Abrir")</f>
        <v>Abrir</v>
      </c>
      <c r="J16" t="s">
        <v>69</v>
      </c>
      <c r="M16" s="6" t="s">
        <v>58</v>
      </c>
      <c r="N16" s="1">
        <v>46232</v>
      </c>
    </row>
    <row r="17" spans="1:14" ht="57.6" x14ac:dyDescent="0.3">
      <c r="A17" t="s">
        <v>14</v>
      </c>
      <c r="B17" t="s">
        <v>71</v>
      </c>
      <c r="C17" t="s">
        <v>52</v>
      </c>
      <c r="D17" t="s">
        <v>53</v>
      </c>
      <c r="E17" t="s">
        <v>62</v>
      </c>
      <c r="F17" s="6" t="s">
        <v>72</v>
      </c>
      <c r="G17" t="s">
        <v>64</v>
      </c>
      <c r="H17" t="s">
        <v>57</v>
      </c>
      <c r="I17" s="2" t="str">
        <f>HYPERLINK("https://www.atsglobe.com/candidate-ui/#/login/candidacy-registration/3120","Abrir")</f>
        <v>Abrir</v>
      </c>
      <c r="J17" t="s">
        <v>71</v>
      </c>
      <c r="M17" s="6" t="s">
        <v>58</v>
      </c>
      <c r="N17" s="1">
        <v>46232</v>
      </c>
    </row>
    <row r="18" spans="1:14" ht="57.6" x14ac:dyDescent="0.3">
      <c r="A18" t="s">
        <v>14</v>
      </c>
      <c r="B18" t="s">
        <v>73</v>
      </c>
      <c r="C18" t="s">
        <v>52</v>
      </c>
      <c r="D18" t="s">
        <v>53</v>
      </c>
      <c r="E18" t="s">
        <v>54</v>
      </c>
      <c r="F18" s="6" t="s">
        <v>74</v>
      </c>
      <c r="G18" t="s">
        <v>56</v>
      </c>
      <c r="H18" t="s">
        <v>57</v>
      </c>
      <c r="I18" s="2" t="str">
        <f>HYPERLINK("https://www.atsglobe.com/candidate-ui/#/login/candidacy-registration/3133","Abrir")</f>
        <v>Abrir</v>
      </c>
      <c r="J18" t="s">
        <v>73</v>
      </c>
      <c r="M18" s="6" t="s">
        <v>58</v>
      </c>
      <c r="N18" s="1">
        <v>46232</v>
      </c>
    </row>
    <row r="19" spans="1:14" ht="57.6" x14ac:dyDescent="0.3">
      <c r="A19" t="s">
        <v>14</v>
      </c>
      <c r="B19" t="s">
        <v>75</v>
      </c>
      <c r="C19" t="s">
        <v>52</v>
      </c>
      <c r="D19" t="s">
        <v>53</v>
      </c>
      <c r="E19" t="s">
        <v>62</v>
      </c>
      <c r="F19" s="6" t="s">
        <v>76</v>
      </c>
      <c r="G19" t="s">
        <v>64</v>
      </c>
      <c r="H19" t="s">
        <v>57</v>
      </c>
      <c r="I19" s="2" t="str">
        <f>HYPERLINK("https://www.atsglobe.com/candidate-ui/#/login/candidacy-registration/3117","Abrir")</f>
        <v>Abrir</v>
      </c>
      <c r="J19" t="s">
        <v>75</v>
      </c>
      <c r="M19" s="6" t="s">
        <v>58</v>
      </c>
      <c r="N19" s="1">
        <v>46232</v>
      </c>
    </row>
    <row r="20" spans="1:14" x14ac:dyDescent="0.3">
      <c r="A20" t="s">
        <v>14</v>
      </c>
      <c r="B20" t="s">
        <v>77</v>
      </c>
      <c r="C20" t="s">
        <v>78</v>
      </c>
      <c r="D20" t="s">
        <v>53</v>
      </c>
      <c r="E20" t="s">
        <v>43</v>
      </c>
      <c r="F20" s="6" t="s">
        <v>79</v>
      </c>
      <c r="G20" t="s">
        <v>80</v>
      </c>
      <c r="H20" t="s">
        <v>81</v>
      </c>
      <c r="I20" s="2" t="str">
        <f>HYPERLINK("https://www.empregare.com/v164426","Abrir")</f>
        <v>Abrir</v>
      </c>
      <c r="J20" t="s">
        <v>77</v>
      </c>
      <c r="N20" s="1">
        <v>46232</v>
      </c>
    </row>
    <row r="21" spans="1:14" x14ac:dyDescent="0.3">
      <c r="A21" t="s">
        <v>14</v>
      </c>
      <c r="B21" t="s">
        <v>77</v>
      </c>
      <c r="C21" t="s">
        <v>78</v>
      </c>
      <c r="D21" t="s">
        <v>53</v>
      </c>
      <c r="E21" t="s">
        <v>43</v>
      </c>
      <c r="F21" s="6" t="s">
        <v>82</v>
      </c>
      <c r="G21" t="s">
        <v>80</v>
      </c>
      <c r="H21" t="s">
        <v>81</v>
      </c>
      <c r="I21" s="2" t="str">
        <f>HYPERLINK("https://www.empregare.com/v169050","Abrir")</f>
        <v>Abrir</v>
      </c>
      <c r="J21" t="s">
        <v>77</v>
      </c>
      <c r="N21" s="1">
        <v>46232</v>
      </c>
    </row>
    <row r="22" spans="1:14" x14ac:dyDescent="0.3">
      <c r="A22" t="s">
        <v>14</v>
      </c>
      <c r="B22" t="s">
        <v>83</v>
      </c>
      <c r="C22" t="s">
        <v>78</v>
      </c>
      <c r="D22" t="s">
        <v>53</v>
      </c>
      <c r="E22" t="s">
        <v>43</v>
      </c>
      <c r="F22" s="6" t="s">
        <v>82</v>
      </c>
      <c r="G22" t="s">
        <v>80</v>
      </c>
      <c r="H22" t="s">
        <v>84</v>
      </c>
      <c r="I22" s="2" t="str">
        <f>HYPERLINK("https://www.empregare.com/v165398","Abrir")</f>
        <v>Abrir</v>
      </c>
      <c r="J22" t="s">
        <v>83</v>
      </c>
      <c r="N22" s="1">
        <v>46232</v>
      </c>
    </row>
    <row r="23" spans="1:14" x14ac:dyDescent="0.3">
      <c r="A23" t="s">
        <v>14</v>
      </c>
      <c r="B23" t="s">
        <v>85</v>
      </c>
      <c r="C23" t="s">
        <v>78</v>
      </c>
      <c r="D23" t="s">
        <v>53</v>
      </c>
      <c r="E23" t="s">
        <v>43</v>
      </c>
      <c r="F23" s="6" t="s">
        <v>79</v>
      </c>
      <c r="G23" t="s">
        <v>80</v>
      </c>
      <c r="H23" t="s">
        <v>81</v>
      </c>
      <c r="I23" s="2" t="str">
        <f>HYPERLINK("https://www.empregare.com/v169048","Abrir")</f>
        <v>Abrir</v>
      </c>
      <c r="J23" t="s">
        <v>85</v>
      </c>
      <c r="N23" s="1">
        <v>46232</v>
      </c>
    </row>
    <row r="24" spans="1:14" x14ac:dyDescent="0.3">
      <c r="A24" t="s">
        <v>14</v>
      </c>
      <c r="B24" t="s">
        <v>85</v>
      </c>
      <c r="C24" t="s">
        <v>78</v>
      </c>
      <c r="D24" t="s">
        <v>53</v>
      </c>
      <c r="E24" t="s">
        <v>43</v>
      </c>
      <c r="F24" s="6" t="s">
        <v>86</v>
      </c>
      <c r="G24" t="s">
        <v>80</v>
      </c>
      <c r="H24" t="s">
        <v>81</v>
      </c>
      <c r="I24" s="2" t="str">
        <f>HYPERLINK("https://www.empregare.com/v168595","Abrir")</f>
        <v>Abrir</v>
      </c>
      <c r="J24" t="s">
        <v>85</v>
      </c>
      <c r="N24" s="1">
        <v>46232</v>
      </c>
    </row>
    <row r="25" spans="1:14" x14ac:dyDescent="0.3">
      <c r="A25" t="s">
        <v>14</v>
      </c>
      <c r="B25" t="s">
        <v>87</v>
      </c>
      <c r="C25" t="s">
        <v>78</v>
      </c>
      <c r="D25" t="s">
        <v>53</v>
      </c>
      <c r="E25" t="s">
        <v>43</v>
      </c>
      <c r="F25" s="6" t="s">
        <v>88</v>
      </c>
      <c r="G25" t="s">
        <v>80</v>
      </c>
      <c r="H25" t="s">
        <v>81</v>
      </c>
      <c r="I25" s="2" t="str">
        <f>HYPERLINK("https://www.empregare.com/v166320","Abrir")</f>
        <v>Abrir</v>
      </c>
      <c r="J25" t="s">
        <v>87</v>
      </c>
      <c r="N25" s="1">
        <v>46232</v>
      </c>
    </row>
    <row r="26" spans="1:14" x14ac:dyDescent="0.3">
      <c r="A26" t="s">
        <v>14</v>
      </c>
      <c r="B26" t="s">
        <v>89</v>
      </c>
      <c r="C26" t="s">
        <v>78</v>
      </c>
      <c r="D26" t="s">
        <v>53</v>
      </c>
      <c r="E26" t="s">
        <v>43</v>
      </c>
      <c r="F26" s="6" t="s">
        <v>90</v>
      </c>
      <c r="G26" t="s">
        <v>80</v>
      </c>
      <c r="H26" t="s">
        <v>81</v>
      </c>
      <c r="I26" s="2" t="str">
        <f>HYPERLINK("https://www.empregare.com/v113757","Abrir")</f>
        <v>Abrir</v>
      </c>
      <c r="J26" t="s">
        <v>89</v>
      </c>
      <c r="N26" s="1">
        <v>46232</v>
      </c>
    </row>
    <row r="27" spans="1:14" x14ac:dyDescent="0.3">
      <c r="A27" t="s">
        <v>14</v>
      </c>
      <c r="B27" t="s">
        <v>91</v>
      </c>
      <c r="C27" t="s">
        <v>78</v>
      </c>
      <c r="D27" t="s">
        <v>53</v>
      </c>
      <c r="E27" t="s">
        <v>43</v>
      </c>
      <c r="F27" s="6" t="s">
        <v>79</v>
      </c>
      <c r="G27" t="s">
        <v>80</v>
      </c>
      <c r="H27" t="s">
        <v>81</v>
      </c>
      <c r="I27" s="2" t="str">
        <f>HYPERLINK("https://www.empregare.com/v173041","Abrir")</f>
        <v>Abrir</v>
      </c>
      <c r="J27" t="s">
        <v>91</v>
      </c>
      <c r="N27" s="1">
        <v>46232</v>
      </c>
    </row>
    <row r="28" spans="1:14" x14ac:dyDescent="0.3">
      <c r="A28" t="s">
        <v>14</v>
      </c>
      <c r="B28" t="s">
        <v>92</v>
      </c>
      <c r="C28" t="s">
        <v>78</v>
      </c>
      <c r="D28" t="s">
        <v>53</v>
      </c>
      <c r="E28" t="s">
        <v>43</v>
      </c>
      <c r="F28" s="6" t="s">
        <v>93</v>
      </c>
      <c r="G28" t="s">
        <v>80</v>
      </c>
      <c r="H28" t="s">
        <v>94</v>
      </c>
      <c r="I28" s="2" t="str">
        <f>HYPERLINK("https://www.empregare.com/v169653","Abrir")</f>
        <v>Abrir</v>
      </c>
      <c r="J28" t="s">
        <v>92</v>
      </c>
      <c r="N28" s="1">
        <v>46232</v>
      </c>
    </row>
    <row r="29" spans="1:14" x14ac:dyDescent="0.3">
      <c r="A29" t="s">
        <v>14</v>
      </c>
      <c r="B29" t="s">
        <v>95</v>
      </c>
      <c r="C29" t="s">
        <v>78</v>
      </c>
      <c r="D29" t="s">
        <v>53</v>
      </c>
      <c r="E29" t="s">
        <v>43</v>
      </c>
      <c r="F29" s="6" t="s">
        <v>96</v>
      </c>
      <c r="G29" t="s">
        <v>80</v>
      </c>
      <c r="H29" t="s">
        <v>81</v>
      </c>
      <c r="I29" s="2" t="str">
        <f>HYPERLINK("https://www.empregare.com/v171830","Abrir")</f>
        <v>Abrir</v>
      </c>
      <c r="J29" t="s">
        <v>95</v>
      </c>
      <c r="N29" s="1">
        <v>46232</v>
      </c>
    </row>
    <row r="30" spans="1:14" ht="57.6" x14ac:dyDescent="0.3">
      <c r="A30" t="s">
        <v>14</v>
      </c>
      <c r="B30" t="s">
        <v>97</v>
      </c>
      <c r="C30" t="s">
        <v>16</v>
      </c>
      <c r="D30" t="s">
        <v>53</v>
      </c>
      <c r="E30" t="s">
        <v>62</v>
      </c>
      <c r="F30" s="6" t="s">
        <v>98</v>
      </c>
      <c r="G30" t="s">
        <v>99</v>
      </c>
      <c r="H30" t="s">
        <v>21</v>
      </c>
      <c r="I30" s="2" t="str">
        <f>HYPERLINK("https://app.eureca.me/vagas/019f8f6b-6fa0-7757-9317-55bba394b4a2","Abrir")</f>
        <v>Abrir</v>
      </c>
      <c r="J30" t="s">
        <v>97</v>
      </c>
      <c r="K30" s="1">
        <v>46226</v>
      </c>
      <c r="L30" s="1">
        <v>46252</v>
      </c>
      <c r="M30" s="6" t="s">
        <v>58</v>
      </c>
      <c r="N30" s="1">
        <v>46232</v>
      </c>
    </row>
    <row r="31" spans="1:14" ht="28.8" x14ac:dyDescent="0.3">
      <c r="A31" t="s">
        <v>14</v>
      </c>
      <c r="B31" t="s">
        <v>100</v>
      </c>
      <c r="C31" t="s">
        <v>16</v>
      </c>
      <c r="D31" t="s">
        <v>53</v>
      </c>
      <c r="E31" t="s">
        <v>18</v>
      </c>
      <c r="F31" s="6" t="s">
        <v>101</v>
      </c>
      <c r="G31" t="s">
        <v>102</v>
      </c>
      <c r="H31" t="s">
        <v>21</v>
      </c>
      <c r="I31" s="2" t="str">
        <f>HYPERLINK("https://app.eureca.me/vagas/019f392d-a65e-7b17-b749-1dacdc327e86","Abrir")</f>
        <v>Abrir</v>
      </c>
      <c r="J31" t="s">
        <v>100</v>
      </c>
      <c r="K31" s="1">
        <v>46209</v>
      </c>
      <c r="L31" s="1">
        <v>46248</v>
      </c>
      <c r="M31" s="6" t="s">
        <v>22</v>
      </c>
      <c r="N31" s="1">
        <v>46232</v>
      </c>
    </row>
    <row r="32" spans="1:14" ht="28.8" x14ac:dyDescent="0.3">
      <c r="A32" t="s">
        <v>14</v>
      </c>
      <c r="B32" t="s">
        <v>100</v>
      </c>
      <c r="C32" t="s">
        <v>16</v>
      </c>
      <c r="D32" t="s">
        <v>53</v>
      </c>
      <c r="E32" t="s">
        <v>27</v>
      </c>
      <c r="F32" s="6" t="s">
        <v>103</v>
      </c>
      <c r="G32" t="s">
        <v>102</v>
      </c>
      <c r="H32" t="s">
        <v>21</v>
      </c>
      <c r="I32" s="2" t="str">
        <f>HYPERLINK("https://app.eureca.me/vagas/019f3c8f-8b57-70da-ac66-f889339cbc2c","Abrir")</f>
        <v>Abrir</v>
      </c>
      <c r="J32" t="s">
        <v>100</v>
      </c>
      <c r="K32" s="1">
        <v>46210</v>
      </c>
      <c r="L32" s="1">
        <v>46248</v>
      </c>
      <c r="M32" s="6" t="s">
        <v>22</v>
      </c>
      <c r="N32" s="1">
        <v>46232</v>
      </c>
    </row>
    <row r="33" spans="1:14" ht="28.8" x14ac:dyDescent="0.3">
      <c r="A33" t="s">
        <v>14</v>
      </c>
      <c r="B33" t="s">
        <v>100</v>
      </c>
      <c r="C33" t="s">
        <v>16</v>
      </c>
      <c r="D33" t="s">
        <v>53</v>
      </c>
      <c r="E33" t="s">
        <v>27</v>
      </c>
      <c r="F33" s="6" t="s">
        <v>104</v>
      </c>
      <c r="G33" t="s">
        <v>102</v>
      </c>
      <c r="H33" t="s">
        <v>21</v>
      </c>
      <c r="I33" s="2" t="str">
        <f>HYPERLINK("https://app.eureca.me/vagas/019f391e-aa19-7a00-af4b-3dcbacec87eb","Abrir")</f>
        <v>Abrir</v>
      </c>
      <c r="J33" t="s">
        <v>100</v>
      </c>
      <c r="K33" s="1">
        <v>46209</v>
      </c>
      <c r="L33" s="1">
        <v>46248</v>
      </c>
      <c r="M33" s="6" t="s">
        <v>22</v>
      </c>
      <c r="N33" s="1">
        <v>46232</v>
      </c>
    </row>
    <row r="34" spans="1:14" ht="28.8" x14ac:dyDescent="0.3">
      <c r="A34" t="s">
        <v>14</v>
      </c>
      <c r="B34" t="s">
        <v>100</v>
      </c>
      <c r="C34" t="s">
        <v>16</v>
      </c>
      <c r="D34" t="s">
        <v>53</v>
      </c>
      <c r="E34" t="s">
        <v>27</v>
      </c>
      <c r="F34" s="6" t="s">
        <v>105</v>
      </c>
      <c r="G34" t="s">
        <v>102</v>
      </c>
      <c r="H34" t="s">
        <v>21</v>
      </c>
      <c r="I34" s="2" t="str">
        <f>HYPERLINK("https://app.eureca.me/vagas/019f3902-d79d-7371-96e3-c2db2622cf05","Abrir")</f>
        <v>Abrir</v>
      </c>
      <c r="J34" t="s">
        <v>100</v>
      </c>
      <c r="K34" s="1">
        <v>46209</v>
      </c>
      <c r="L34" s="1">
        <v>46248</v>
      </c>
      <c r="M34" s="6" t="s">
        <v>22</v>
      </c>
      <c r="N34" s="1">
        <v>46232</v>
      </c>
    </row>
    <row r="35" spans="1:14" ht="28.8" x14ac:dyDescent="0.3">
      <c r="A35" t="s">
        <v>14</v>
      </c>
      <c r="B35" t="s">
        <v>100</v>
      </c>
      <c r="C35" t="s">
        <v>16</v>
      </c>
      <c r="D35" t="s">
        <v>53</v>
      </c>
      <c r="E35" t="s">
        <v>27</v>
      </c>
      <c r="F35" s="6" t="s">
        <v>106</v>
      </c>
      <c r="G35" t="s">
        <v>102</v>
      </c>
      <c r="H35" t="s">
        <v>21</v>
      </c>
      <c r="I35" s="2" t="str">
        <f>HYPERLINK("https://app.eureca.me/vagas/019f3881-fc6b-745e-b3ce-70e58c958163","Abrir")</f>
        <v>Abrir</v>
      </c>
      <c r="J35" t="s">
        <v>100</v>
      </c>
      <c r="K35" s="1">
        <v>46209</v>
      </c>
      <c r="L35" s="1">
        <v>46248</v>
      </c>
      <c r="M35" s="6" t="s">
        <v>22</v>
      </c>
      <c r="N35" s="1">
        <v>46232</v>
      </c>
    </row>
    <row r="36" spans="1:14" ht="57.6" x14ac:dyDescent="0.3">
      <c r="A36" t="s">
        <v>14</v>
      </c>
      <c r="B36" t="s">
        <v>107</v>
      </c>
      <c r="C36" t="s">
        <v>16</v>
      </c>
      <c r="D36" t="s">
        <v>53</v>
      </c>
      <c r="E36" t="s">
        <v>62</v>
      </c>
      <c r="F36" s="6" t="s">
        <v>108</v>
      </c>
      <c r="G36" t="s">
        <v>102</v>
      </c>
      <c r="H36" t="s">
        <v>21</v>
      </c>
      <c r="I36" s="2" t="str">
        <f>HYPERLINK("https://app.eureca.me/vagas/019f6101-e8af-7fca-8ac5-0591234d7c6a","Abrir")</f>
        <v>Abrir</v>
      </c>
      <c r="J36" t="s">
        <v>107</v>
      </c>
      <c r="K36" s="1">
        <v>46217</v>
      </c>
      <c r="L36" s="1">
        <v>46266</v>
      </c>
      <c r="M36" s="6" t="s">
        <v>58</v>
      </c>
      <c r="N36" s="1">
        <v>46232</v>
      </c>
    </row>
    <row r="37" spans="1:14" ht="57.6" x14ac:dyDescent="0.3">
      <c r="A37" t="s">
        <v>14</v>
      </c>
      <c r="B37" t="s">
        <v>109</v>
      </c>
      <c r="C37" t="s">
        <v>16</v>
      </c>
      <c r="D37" t="s">
        <v>53</v>
      </c>
      <c r="E37" t="s">
        <v>62</v>
      </c>
      <c r="F37" s="6" t="s">
        <v>110</v>
      </c>
      <c r="G37" t="s">
        <v>99</v>
      </c>
      <c r="H37" t="s">
        <v>21</v>
      </c>
      <c r="I37" s="2" t="str">
        <f>HYPERLINK("https://app.eureca.me/vagas/019fa3df-0b51-7795-af50-cd2c042d9e4c","Abrir")</f>
        <v>Abrir</v>
      </c>
      <c r="J37" t="s">
        <v>109</v>
      </c>
      <c r="K37" s="1">
        <v>46230</v>
      </c>
      <c r="L37" s="1">
        <v>46274</v>
      </c>
      <c r="M37" s="6" t="s">
        <v>58</v>
      </c>
      <c r="N37" s="1">
        <v>46232</v>
      </c>
    </row>
    <row r="38" spans="1:14" ht="28.8" x14ac:dyDescent="0.3">
      <c r="A38" t="s">
        <v>14</v>
      </c>
      <c r="B38" t="s">
        <v>109</v>
      </c>
      <c r="C38" t="s">
        <v>16</v>
      </c>
      <c r="D38" t="s">
        <v>53</v>
      </c>
      <c r="E38" t="s">
        <v>111</v>
      </c>
      <c r="F38" s="6" t="s">
        <v>112</v>
      </c>
      <c r="G38" t="s">
        <v>99</v>
      </c>
      <c r="H38" t="s">
        <v>21</v>
      </c>
      <c r="I38" s="2" t="str">
        <f>HYPERLINK("https://app.eureca.me/vagas/019f700a-0322-7e5a-b209-25d33b304523","Abrir")</f>
        <v>Abrir</v>
      </c>
      <c r="J38" t="s">
        <v>109</v>
      </c>
      <c r="K38" s="1">
        <v>46220</v>
      </c>
      <c r="L38" s="1">
        <v>46274</v>
      </c>
      <c r="M38" s="6" t="s">
        <v>22</v>
      </c>
      <c r="N38" s="1">
        <v>46232</v>
      </c>
    </row>
    <row r="39" spans="1:14" ht="28.8" x14ac:dyDescent="0.3">
      <c r="A39" t="s">
        <v>14</v>
      </c>
      <c r="B39" t="s">
        <v>113</v>
      </c>
      <c r="C39" t="s">
        <v>16</v>
      </c>
      <c r="D39" t="s">
        <v>53</v>
      </c>
      <c r="E39" t="s">
        <v>54</v>
      </c>
      <c r="F39" s="6" t="s">
        <v>114</v>
      </c>
      <c r="G39" t="s">
        <v>20</v>
      </c>
      <c r="H39" t="s">
        <v>115</v>
      </c>
      <c r="I39" s="2" t="str">
        <f>HYPERLINK("https://app.eureca.me/vagas/019f226b-9654-76cc-94fb-f1cb74f39da2","Abrir")</f>
        <v>Abrir</v>
      </c>
      <c r="J39" t="s">
        <v>113</v>
      </c>
      <c r="K39" s="1">
        <v>46205</v>
      </c>
      <c r="L39" s="1">
        <v>46241</v>
      </c>
      <c r="M39" s="6" t="s">
        <v>116</v>
      </c>
      <c r="N39" s="1">
        <v>46232</v>
      </c>
    </row>
    <row r="40" spans="1:14" x14ac:dyDescent="0.3">
      <c r="A40" t="s">
        <v>14</v>
      </c>
      <c r="B40" t="s">
        <v>117</v>
      </c>
      <c r="C40" t="s">
        <v>30</v>
      </c>
      <c r="D40" t="s">
        <v>53</v>
      </c>
      <c r="E40" t="s">
        <v>43</v>
      </c>
      <c r="F40" s="6" t="s">
        <v>118</v>
      </c>
      <c r="G40" t="s">
        <v>33</v>
      </c>
      <c r="H40" t="s">
        <v>34</v>
      </c>
      <c r="I40" s="2" t="str">
        <f>HYPERLINK("https://vagasconexaotalentos.gupy.io/job/eyJqb2JJZCI6MTE3ODM2NjIsInNvdXJjZSI6Imd1cHlfcG9ydGFsIn0=?jobBoardSource=gupy_portal","Abrir")</f>
        <v>Abrir</v>
      </c>
      <c r="J40" t="s">
        <v>117</v>
      </c>
      <c r="K40" s="1">
        <v>46227</v>
      </c>
      <c r="L40" s="1">
        <v>46241</v>
      </c>
      <c r="N40" s="1">
        <v>46232</v>
      </c>
    </row>
    <row r="41" spans="1:14" x14ac:dyDescent="0.3">
      <c r="A41" t="s">
        <v>14</v>
      </c>
      <c r="B41" t="s">
        <v>119</v>
      </c>
      <c r="C41" t="s">
        <v>30</v>
      </c>
      <c r="D41" t="s">
        <v>53</v>
      </c>
      <c r="E41" t="s">
        <v>120</v>
      </c>
      <c r="F41" s="6" t="s">
        <v>121</v>
      </c>
      <c r="G41" t="s">
        <v>33</v>
      </c>
      <c r="H41" t="s">
        <v>34</v>
      </c>
      <c r="I41" s="2" t="str">
        <f>HYPERLINK("https://vagas-infnet.gupy.io/job/eyJqb2JJZCI6MTExMDY4MDksInNvdXJjZSI6Imd1cHlfcG9ydGFsIn0=?jobBoardSource=gupy_portal","Abrir")</f>
        <v>Abrir</v>
      </c>
      <c r="J41" t="s">
        <v>119</v>
      </c>
      <c r="K41" s="1">
        <v>46120</v>
      </c>
      <c r="L41" s="1">
        <v>46290</v>
      </c>
      <c r="N41" s="1">
        <v>46219</v>
      </c>
    </row>
    <row r="42" spans="1:14" x14ac:dyDescent="0.3">
      <c r="A42" t="s">
        <v>14</v>
      </c>
      <c r="B42" t="s">
        <v>122</v>
      </c>
      <c r="C42" t="s">
        <v>30</v>
      </c>
      <c r="D42" t="s">
        <v>53</v>
      </c>
      <c r="E42" t="s">
        <v>111</v>
      </c>
      <c r="F42" s="6" t="s">
        <v>123</v>
      </c>
      <c r="G42" t="s">
        <v>33</v>
      </c>
      <c r="H42" t="s">
        <v>34</v>
      </c>
      <c r="I42" s="2" t="str">
        <f>HYPERLINK("https://estagio-e-trainee-infnet.gupy.io/job/eyJqb2JJZCI6MTEyMDcwODMsInNvdXJjZSI6Imd1cHlfcG9ydGFsIn0=?jobBoardSource=gupy_portal","Abrir")</f>
        <v>Abrir</v>
      </c>
      <c r="J42" t="s">
        <v>122</v>
      </c>
      <c r="K42" s="1">
        <v>46140</v>
      </c>
      <c r="L42" s="1">
        <v>46290</v>
      </c>
      <c r="N42" s="1">
        <v>46232</v>
      </c>
    </row>
    <row r="43" spans="1:14" x14ac:dyDescent="0.3">
      <c r="A43" t="s">
        <v>14</v>
      </c>
      <c r="B43" t="s">
        <v>124</v>
      </c>
      <c r="C43" t="s">
        <v>30</v>
      </c>
      <c r="D43" t="s">
        <v>53</v>
      </c>
      <c r="E43" t="s">
        <v>43</v>
      </c>
      <c r="F43" s="6" t="s">
        <v>125</v>
      </c>
      <c r="G43" t="s">
        <v>33</v>
      </c>
      <c r="H43" t="s">
        <v>34</v>
      </c>
      <c r="I43" s="2" t="str">
        <f>HYPERLINK("https://conexaotalentos.gupy.io/job/eyJqb2JJZCI6MTE2MzU1OTYsInNvdXJjZSI6Imd1cHlfcG9ydGFsIn0=?jobBoardSource=gupy_portal","Abrir")</f>
        <v>Abrir</v>
      </c>
      <c r="J43" t="s">
        <v>124</v>
      </c>
      <c r="K43" s="1">
        <v>46220</v>
      </c>
      <c r="L43" s="1">
        <v>46251</v>
      </c>
      <c r="N43" s="1">
        <v>46232</v>
      </c>
    </row>
    <row r="44" spans="1:14" x14ac:dyDescent="0.3">
      <c r="A44" t="s">
        <v>14</v>
      </c>
      <c r="B44" t="s">
        <v>126</v>
      </c>
      <c r="C44" t="s">
        <v>30</v>
      </c>
      <c r="D44" t="s">
        <v>53</v>
      </c>
      <c r="E44" t="s">
        <v>37</v>
      </c>
      <c r="F44" s="6" t="s">
        <v>127</v>
      </c>
      <c r="G44" t="s">
        <v>128</v>
      </c>
      <c r="H44" t="s">
        <v>129</v>
      </c>
      <c r="I44" s="2" t="str">
        <f>HYPERLINK("https://magnumtires.gupy.io/job/eyJqb2JJZCI6MTE2MDUyODUsInNvdXJjZSI6Imd1cHlfcG9ydGFsIn0=?jobBoardSource=gupy_portal","Abrir")</f>
        <v>Abrir</v>
      </c>
      <c r="J44" t="s">
        <v>126</v>
      </c>
      <c r="K44" s="1">
        <v>46227</v>
      </c>
      <c r="L44" s="1">
        <v>46271</v>
      </c>
      <c r="N44" s="1">
        <v>46232</v>
      </c>
    </row>
    <row r="45" spans="1:14" ht="28.8" x14ac:dyDescent="0.3">
      <c r="A45" t="s">
        <v>14</v>
      </c>
      <c r="B45" t="s">
        <v>130</v>
      </c>
      <c r="C45" t="s">
        <v>30</v>
      </c>
      <c r="D45" t="s">
        <v>53</v>
      </c>
      <c r="E45" t="s">
        <v>43</v>
      </c>
      <c r="F45" s="6" t="s">
        <v>131</v>
      </c>
      <c r="G45" t="s">
        <v>128</v>
      </c>
      <c r="H45" t="s">
        <v>132</v>
      </c>
      <c r="I45" s="2" t="str">
        <f>HYPERLINK("https://redeamericas.gupy.io/job/eyJqb2JJZCI6MTE2NjY5MTUsInNvdXJjZSI6Imd1cHlfcG9ydGFsIn0=?jobBoardSource=gupy_portal","Abrir")</f>
        <v>Abrir</v>
      </c>
      <c r="J45" t="s">
        <v>130</v>
      </c>
      <c r="K45" s="1">
        <v>46227</v>
      </c>
      <c r="L45" s="1">
        <v>46279</v>
      </c>
      <c r="N45" s="1">
        <v>46232</v>
      </c>
    </row>
    <row r="46" spans="1:14" x14ac:dyDescent="0.3">
      <c r="A46" t="s">
        <v>14</v>
      </c>
      <c r="B46" t="s">
        <v>133</v>
      </c>
      <c r="C46" t="s">
        <v>42</v>
      </c>
      <c r="D46" t="s">
        <v>53</v>
      </c>
      <c r="E46" t="s">
        <v>43</v>
      </c>
      <c r="F46" s="6" t="s">
        <v>134</v>
      </c>
      <c r="G46" t="s">
        <v>45</v>
      </c>
      <c r="H46" t="s">
        <v>46</v>
      </c>
      <c r="I46" s="2" t="str">
        <f>HYPERLINK("https://gruposaga.inhire.app/vagas/835a22cd-2faa-4221-8ad6-b91f03f96e24/assistente-de-controladoria","Abrir")</f>
        <v>Abrir</v>
      </c>
      <c r="J46" t="s">
        <v>133</v>
      </c>
      <c r="N46" s="1">
        <v>46232</v>
      </c>
    </row>
    <row r="47" spans="1:14" x14ac:dyDescent="0.3">
      <c r="A47" t="s">
        <v>14</v>
      </c>
      <c r="B47" t="s">
        <v>135</v>
      </c>
      <c r="C47" t="s">
        <v>42</v>
      </c>
      <c r="D47" t="s">
        <v>53</v>
      </c>
      <c r="E47" t="s">
        <v>43</v>
      </c>
      <c r="F47" s="6" t="s">
        <v>136</v>
      </c>
      <c r="G47" t="s">
        <v>45</v>
      </c>
      <c r="H47" t="s">
        <v>46</v>
      </c>
      <c r="I47" s="2" t="str">
        <f>HYPERLINK("https://nomadglobal.inhire.app/vagas/b457098d-6aee-49dd-bd00-d6469ade5b8d/analista-de-operacoes-i-cartao-de-credito","Abrir")</f>
        <v>Abrir</v>
      </c>
      <c r="J47" t="s">
        <v>135</v>
      </c>
      <c r="N47" s="1">
        <v>46232</v>
      </c>
    </row>
  </sheetData>
  <autoFilter ref="A1:N47" xr:uid="{65B1E613-4CE6-444B-8C62-2BA4FD02DCE6}"/>
  <dataValidations count="1">
    <dataValidation type="list" allowBlank="1" showInputMessage="1" showErrorMessage="1" errorTitle="Situação inválida" error="Escolha uma das opções: Aplicada / Não Aplicada / Desenvolvendo currículo" sqref="A2:A47" xr:uid="{8DBE26DB-3E38-404D-A2A7-B548C0C19F2E}">
      <formula1>"Aplicada,Não Aplicada,Desenvolvendo currículo"</formula1>
    </dataValidation>
  </dataValidation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9CBEC-74A4-4930-A659-D7BD4FFB362E}">
  <dimension ref="A1:F251"/>
  <sheetViews>
    <sheetView workbookViewId="0">
      <pane ySplit="1" topLeftCell="A2" activePane="bottomLeft" state="frozenSplit"/>
      <selection pane="bottomLeft"/>
    </sheetView>
  </sheetViews>
  <sheetFormatPr defaultRowHeight="14.4" x14ac:dyDescent="0.3"/>
  <cols>
    <col min="1" max="1" width="30.77734375" customWidth="1"/>
    <col min="2" max="2" width="10.77734375" customWidth="1"/>
    <col min="3" max="3" width="44.77734375" customWidth="1"/>
    <col min="4" max="4" width="11.77734375" customWidth="1"/>
    <col min="5" max="5" width="44.77734375" customWidth="1"/>
    <col min="6" max="6" width="16.77734375" customWidth="1"/>
  </cols>
  <sheetData>
    <row r="1" spans="1:6" ht="25.95" customHeight="1" x14ac:dyDescent="0.3">
      <c r="A1" s="3" t="s">
        <v>1</v>
      </c>
      <c r="B1" s="3" t="s">
        <v>137</v>
      </c>
      <c r="C1" s="3" t="s">
        <v>138</v>
      </c>
      <c r="D1" s="3" t="s">
        <v>139</v>
      </c>
      <c r="E1" s="3" t="s">
        <v>140</v>
      </c>
      <c r="F1" s="3" t="s">
        <v>141</v>
      </c>
    </row>
    <row r="2" spans="1:6" x14ac:dyDescent="0.3">
      <c r="A2" t="s">
        <v>142</v>
      </c>
      <c r="D2" t="s">
        <v>17</v>
      </c>
      <c r="E2" s="2" t="str">
        <f>HYPERLINK("https://aarin.inhire.app/vagas","Abrir")</f>
        <v>Abrir</v>
      </c>
      <c r="F2">
        <v>9</v>
      </c>
    </row>
    <row r="3" spans="1:6" x14ac:dyDescent="0.3">
      <c r="A3" t="s">
        <v>143</v>
      </c>
      <c r="B3" t="s">
        <v>17</v>
      </c>
      <c r="C3" s="2" t="str">
        <f>HYPERLINK("https://abaco.gupy.io/","Abrir")</f>
        <v>Abrir</v>
      </c>
    </row>
    <row r="4" spans="1:6" x14ac:dyDescent="0.3">
      <c r="A4" t="s">
        <v>144</v>
      </c>
      <c r="D4" t="s">
        <v>17</v>
      </c>
      <c r="E4" s="2" t="str">
        <f>HYPERLINK("https://adyen.inhire.app/vagas","Abrir")</f>
        <v>Abrir</v>
      </c>
      <c r="F4">
        <v>0</v>
      </c>
    </row>
    <row r="5" spans="1:6" x14ac:dyDescent="0.3">
      <c r="A5" t="s">
        <v>145</v>
      </c>
      <c r="B5" t="s">
        <v>17</v>
      </c>
      <c r="C5" s="2" t="str">
        <f>HYPERLINK("https://afya.gupy.io/","Abrir")</f>
        <v>Abrir</v>
      </c>
    </row>
    <row r="6" spans="1:6" x14ac:dyDescent="0.3">
      <c r="A6" t="s">
        <v>146</v>
      </c>
      <c r="B6" t="s">
        <v>17</v>
      </c>
      <c r="C6" s="2" t="str">
        <f>HYPERLINK("https://afya.gupy.io/","Abrir")</f>
        <v>Abrir</v>
      </c>
    </row>
    <row r="7" spans="1:6" x14ac:dyDescent="0.3">
      <c r="A7" t="s">
        <v>147</v>
      </c>
      <c r="B7" t="s">
        <v>17</v>
      </c>
      <c r="C7" s="2" t="str">
        <f>HYPERLINK("https://agencia.gupy.io/","Abrir")</f>
        <v>Abrir</v>
      </c>
    </row>
    <row r="8" spans="1:6" x14ac:dyDescent="0.3">
      <c r="A8" t="s">
        <v>148</v>
      </c>
      <c r="B8" t="s">
        <v>17</v>
      </c>
      <c r="C8" s="2" t="str">
        <f>HYPERLINK("https://agencia.gupy.io/","Abrir")</f>
        <v>Abrir</v>
      </c>
    </row>
    <row r="9" spans="1:6" x14ac:dyDescent="0.3">
      <c r="A9" t="s">
        <v>149</v>
      </c>
      <c r="D9" t="s">
        <v>17</v>
      </c>
      <c r="E9" s="2" t="str">
        <f>HYPERLINK("https://eyxo.inhire.app/vagas","Abrir")</f>
        <v>Abrir</v>
      </c>
      <c r="F9">
        <v>6</v>
      </c>
    </row>
    <row r="10" spans="1:6" x14ac:dyDescent="0.3">
      <c r="A10" t="s">
        <v>150</v>
      </c>
      <c r="B10" t="s">
        <v>17</v>
      </c>
      <c r="C10" s="2" t="str">
        <f>HYPERLINK("https://agilize.gupy.io/","Abrir")</f>
        <v>Abrir</v>
      </c>
    </row>
    <row r="11" spans="1:6" x14ac:dyDescent="0.3">
      <c r="A11" t="s">
        <v>151</v>
      </c>
      <c r="B11" t="s">
        <v>17</v>
      </c>
      <c r="C11" s="2" t="str">
        <f>HYPERLINK("https://agriness.gupy.io/","Abrir")</f>
        <v>Abrir</v>
      </c>
    </row>
    <row r="12" spans="1:6" x14ac:dyDescent="0.3">
      <c r="A12" t="s">
        <v>152</v>
      </c>
      <c r="B12" t="s">
        <v>17</v>
      </c>
      <c r="C12" s="2" t="str">
        <f>HYPERLINK("https://akross.gupy.io/","Abrir")</f>
        <v>Abrir</v>
      </c>
    </row>
    <row r="13" spans="1:6" x14ac:dyDescent="0.3">
      <c r="A13" t="s">
        <v>153</v>
      </c>
      <c r="D13" t="s">
        <v>17</v>
      </c>
      <c r="E13" s="2" t="str">
        <f>HYPERLINK("https://brasilparalelo.inhire.app/vagas","Abrir")</f>
        <v>Abrir</v>
      </c>
      <c r="F13">
        <v>14</v>
      </c>
    </row>
    <row r="14" spans="1:6" x14ac:dyDescent="0.3">
      <c r="A14" t="s">
        <v>154</v>
      </c>
      <c r="B14" t="s">
        <v>17</v>
      </c>
      <c r="C14" s="2" t="str">
        <f>HYPERLINK("https://algar.gupy.io/","Abrir")</f>
        <v>Abrir</v>
      </c>
      <c r="D14" t="s">
        <v>17</v>
      </c>
      <c r="E14" s="2" t="str">
        <f>HYPERLINK("https://algar.inhire.app/vagas","Abrir")</f>
        <v>Abrir</v>
      </c>
      <c r="F14">
        <v>4</v>
      </c>
    </row>
    <row r="15" spans="1:6" x14ac:dyDescent="0.3">
      <c r="A15" t="s">
        <v>155</v>
      </c>
      <c r="D15" t="s">
        <v>17</v>
      </c>
      <c r="E15" s="2" t="str">
        <f>HYPERLINK("https://alicerce.inhire.app/vagas","Abrir")</f>
        <v>Abrir</v>
      </c>
      <c r="F15">
        <v>16</v>
      </c>
    </row>
    <row r="16" spans="1:6" x14ac:dyDescent="0.3">
      <c r="A16" t="s">
        <v>156</v>
      </c>
      <c r="B16" t="s">
        <v>17</v>
      </c>
      <c r="C16" s="2" t="str">
        <f>HYPERLINK("https://alpargatas.gupy.io/","Abrir")</f>
        <v>Abrir</v>
      </c>
    </row>
    <row r="17" spans="1:6" x14ac:dyDescent="0.3">
      <c r="A17" t="s">
        <v>157</v>
      </c>
      <c r="B17" t="s">
        <v>17</v>
      </c>
      <c r="C17" s="2" t="str">
        <f>HYPERLINK("https://alterdata.gupy.io/","Abrir")</f>
        <v>Abrir</v>
      </c>
    </row>
    <row r="18" spans="1:6" x14ac:dyDescent="0.3">
      <c r="A18" t="s">
        <v>158</v>
      </c>
      <c r="D18" t="s">
        <v>17</v>
      </c>
      <c r="E18" s="2" t="str">
        <f>HYPERLINK("https://alun.inhire.app/vagas","Abrir")</f>
        <v>Abrir</v>
      </c>
      <c r="F18">
        <v>23</v>
      </c>
    </row>
    <row r="19" spans="1:6" x14ac:dyDescent="0.3">
      <c r="A19" t="s">
        <v>159</v>
      </c>
      <c r="D19" t="s">
        <v>17</v>
      </c>
      <c r="E19" s="2" t="str">
        <f>HYPERLINK("https://amaro.inhire.app/vagas","Abrir")</f>
        <v>Abrir</v>
      </c>
      <c r="F19">
        <v>3</v>
      </c>
    </row>
    <row r="20" spans="1:6" x14ac:dyDescent="0.3">
      <c r="A20" t="s">
        <v>160</v>
      </c>
      <c r="B20" t="s">
        <v>17</v>
      </c>
      <c r="C20" s="2" t="str">
        <f>HYPERLINK("https://ambev.gupy.io/","Abrir")</f>
        <v>Abrir</v>
      </c>
    </row>
    <row r="21" spans="1:6" x14ac:dyDescent="0.3">
      <c r="A21" t="s">
        <v>161</v>
      </c>
      <c r="D21" t="s">
        <v>17</v>
      </c>
      <c r="E21" s="2" t="str">
        <f>HYPERLINK("https://amcom.inhire.app/vagas","Abrir")</f>
        <v>Abrir</v>
      </c>
      <c r="F21">
        <v>28</v>
      </c>
    </row>
    <row r="22" spans="1:6" x14ac:dyDescent="0.3">
      <c r="A22" t="s">
        <v>162</v>
      </c>
      <c r="B22" t="s">
        <v>17</v>
      </c>
      <c r="C22" s="2" t="str">
        <f>HYPERLINK("https://ame.gupy.io/","Abrir")</f>
        <v>Abrir</v>
      </c>
    </row>
    <row r="23" spans="1:6" x14ac:dyDescent="0.3">
      <c r="A23" t="s">
        <v>163</v>
      </c>
      <c r="B23" t="s">
        <v>17</v>
      </c>
      <c r="C23" s="2" t="str">
        <f>HYPERLINK("https://amparosaude.gupy.io/","Abrir")</f>
        <v>Abrir</v>
      </c>
    </row>
    <row r="24" spans="1:6" x14ac:dyDescent="0.3">
      <c r="A24" t="s">
        <v>164</v>
      </c>
      <c r="D24" t="s">
        <v>17</v>
      </c>
      <c r="E24" s="2" t="str">
        <f>HYPERLINK("https://rpo-abinbev.inhire.app/vagas","Abrir")</f>
        <v>Abrir</v>
      </c>
      <c r="F24">
        <v>0</v>
      </c>
    </row>
    <row r="25" spans="1:6" x14ac:dyDescent="0.3">
      <c r="A25" t="s">
        <v>165</v>
      </c>
      <c r="D25" t="s">
        <v>17</v>
      </c>
      <c r="E25" s="2" t="str">
        <f>HYPERLINK("https://arquivei.inhire.app/vagas","Abrir")</f>
        <v>Abrir</v>
      </c>
      <c r="F25">
        <v>0</v>
      </c>
    </row>
    <row r="26" spans="1:6" x14ac:dyDescent="0.3">
      <c r="A26" t="s">
        <v>166</v>
      </c>
      <c r="B26" t="s">
        <v>17</v>
      </c>
      <c r="C26" s="2" t="str">
        <f>HYPERLINK("https://asaplog.gupy.io/","Abrir")</f>
        <v>Abrir</v>
      </c>
    </row>
    <row r="27" spans="1:6" x14ac:dyDescent="0.3">
      <c r="A27" t="s">
        <v>167</v>
      </c>
      <c r="B27" t="s">
        <v>17</v>
      </c>
      <c r="C27" s="2" t="str">
        <f>HYPERLINK("https://atento.gupy.io/","Abrir")</f>
        <v>Abrir</v>
      </c>
    </row>
    <row r="28" spans="1:6" x14ac:dyDescent="0.3">
      <c r="A28" t="s">
        <v>168</v>
      </c>
      <c r="B28" t="s">
        <v>17</v>
      </c>
      <c r="C28" s="2" t="str">
        <f>HYPERLINK("https://ativa.gupy.io/","Abrir")</f>
        <v>Abrir</v>
      </c>
    </row>
    <row r="29" spans="1:6" x14ac:dyDescent="0.3">
      <c r="A29" t="s">
        <v>169</v>
      </c>
      <c r="D29" t="s">
        <v>17</v>
      </c>
      <c r="E29" s="2" t="str">
        <f>HYPERLINK("https://auvotecnologia.inhire.app/vagas","Abrir")</f>
        <v>Abrir</v>
      </c>
      <c r="F29">
        <v>16</v>
      </c>
    </row>
    <row r="30" spans="1:6" x14ac:dyDescent="0.3">
      <c r="A30" t="s">
        <v>170</v>
      </c>
      <c r="D30" t="s">
        <v>17</v>
      </c>
      <c r="E30" s="2" t="str">
        <f>HYPERLINK("https://avenue.inhire.app/vagas","Abrir")</f>
        <v>Abrir</v>
      </c>
      <c r="F30">
        <v>11</v>
      </c>
    </row>
    <row r="31" spans="1:6" x14ac:dyDescent="0.3">
      <c r="A31" t="s">
        <v>171</v>
      </c>
      <c r="D31" t="s">
        <v>17</v>
      </c>
      <c r="E31" s="2" t="str">
        <f>HYPERLINK("https://telavita.inhire.app/vagas","Abrir")</f>
        <v>Abrir</v>
      </c>
      <c r="F31">
        <v>7</v>
      </c>
    </row>
    <row r="32" spans="1:6" x14ac:dyDescent="0.3">
      <c r="A32" t="s">
        <v>172</v>
      </c>
      <c r="D32" t="s">
        <v>17</v>
      </c>
      <c r="E32" s="2" t="str">
        <f>HYPERLINK("https://avivatec.inhire.app/vagas","Abrir")</f>
        <v>Abrir</v>
      </c>
      <c r="F32">
        <v>0</v>
      </c>
    </row>
    <row r="33" spans="1:6" x14ac:dyDescent="0.3">
      <c r="A33" t="s">
        <v>173</v>
      </c>
      <c r="B33" t="s">
        <v>17</v>
      </c>
      <c r="C33" s="2" t="str">
        <f>HYPERLINK("https://bancobmg.gupy.io/","Abrir")</f>
        <v>Abrir</v>
      </c>
    </row>
    <row r="34" spans="1:6" x14ac:dyDescent="0.3">
      <c r="A34" t="s">
        <v>174</v>
      </c>
      <c r="D34" t="s">
        <v>17</v>
      </c>
      <c r="E34" s="2" t="str">
        <f>HYPERLINK("https://votorantim.inhire.app/vagas","Abrir")</f>
        <v>Abrir</v>
      </c>
      <c r="F34">
        <v>2</v>
      </c>
    </row>
    <row r="35" spans="1:6" x14ac:dyDescent="0.3">
      <c r="A35" t="s">
        <v>175</v>
      </c>
      <c r="B35" t="s">
        <v>17</v>
      </c>
      <c r="C35" s="2" t="str">
        <f>HYPERLINK("https://bancodaycoval.gupy.io/","Abrir")</f>
        <v>Abrir</v>
      </c>
    </row>
    <row r="36" spans="1:6" x14ac:dyDescent="0.3">
      <c r="A36" t="s">
        <v>176</v>
      </c>
      <c r="B36" t="s">
        <v>17</v>
      </c>
      <c r="C36" s="2" t="str">
        <f>HYPERLINK("https://original.gupy.io/","Abrir")</f>
        <v>Abrir</v>
      </c>
    </row>
    <row r="37" spans="1:6" x14ac:dyDescent="0.3">
      <c r="A37" t="s">
        <v>177</v>
      </c>
      <c r="D37" t="s">
        <v>17</v>
      </c>
      <c r="E37" s="2" t="str">
        <f>HYPERLINK("https://bancopine.inhire.app/vagas","Abrir")</f>
        <v>Abrir</v>
      </c>
      <c r="F37">
        <v>7</v>
      </c>
    </row>
    <row r="38" spans="1:6" x14ac:dyDescent="0.3">
      <c r="A38" t="s">
        <v>178</v>
      </c>
      <c r="B38" t="s">
        <v>17</v>
      </c>
      <c r="C38" s="2" t="str">
        <f>HYPERLINK("https://bancosofisa.gupy.io/","Abrir")</f>
        <v>Abrir</v>
      </c>
    </row>
    <row r="39" spans="1:6" x14ac:dyDescent="0.3">
      <c r="A39" t="s">
        <v>179</v>
      </c>
      <c r="B39" t="s">
        <v>17</v>
      </c>
      <c r="C39" s="2" t="str">
        <f>HYPERLINK("https://yamaha.gupy.io/","Abrir")</f>
        <v>Abrir</v>
      </c>
    </row>
    <row r="40" spans="1:6" x14ac:dyDescent="0.3">
      <c r="A40" t="s">
        <v>180</v>
      </c>
      <c r="B40" t="s">
        <v>17</v>
      </c>
      <c r="C40" s="2" t="str">
        <f>HYPERLINK("https://bancorbras.gupy.io/","Abrir")</f>
        <v>Abrir</v>
      </c>
    </row>
    <row r="41" spans="1:6" x14ac:dyDescent="0.3">
      <c r="A41" t="s">
        <v>181</v>
      </c>
      <c r="D41" t="s">
        <v>17</v>
      </c>
      <c r="E41" s="2" t="str">
        <f>HYPERLINK("https://cardapioweb.inhire.app/vagas","Abrir")</f>
        <v>Abrir</v>
      </c>
      <c r="F41">
        <v>23</v>
      </c>
    </row>
    <row r="42" spans="1:6" x14ac:dyDescent="0.3">
      <c r="A42" t="s">
        <v>182</v>
      </c>
      <c r="B42" t="s">
        <v>17</v>
      </c>
      <c r="C42" s="2" t="str">
        <f>HYPERLINK("https://bemobi.gupy.io/","Abrir")</f>
        <v>Abrir</v>
      </c>
      <c r="D42" t="s">
        <v>17</v>
      </c>
      <c r="E42" s="2" t="str">
        <f>HYPERLINK("https://bemobi.inhire.app/vagas","Abrir")</f>
        <v>Abrir</v>
      </c>
      <c r="F42">
        <v>2</v>
      </c>
    </row>
    <row r="43" spans="1:6" x14ac:dyDescent="0.3">
      <c r="A43" t="s">
        <v>183</v>
      </c>
      <c r="D43" t="s">
        <v>17</v>
      </c>
      <c r="E43" s="2" t="str">
        <f>HYPERLINK("https://bionexo.inhire.app/vagas","Abrir")</f>
        <v>Abrir</v>
      </c>
      <c r="F43">
        <v>23</v>
      </c>
    </row>
    <row r="44" spans="1:6" x14ac:dyDescent="0.3">
      <c r="A44" t="s">
        <v>184</v>
      </c>
      <c r="B44" t="s">
        <v>17</v>
      </c>
      <c r="C44" s="2" t="str">
        <f>HYPERLINK("https://boavista.gupy.io/","Abrir")</f>
        <v>Abrir</v>
      </c>
    </row>
    <row r="45" spans="1:6" x14ac:dyDescent="0.3">
      <c r="A45" t="s">
        <v>15</v>
      </c>
      <c r="D45" t="s">
        <v>17</v>
      </c>
      <c r="E45" s="2" t="str">
        <f>HYPERLINK("https://bradesco.inhire.app/vagas","Abrir")</f>
        <v>Abrir</v>
      </c>
      <c r="F45">
        <v>1</v>
      </c>
    </row>
    <row r="46" spans="1:6" x14ac:dyDescent="0.3">
      <c r="A46" t="s">
        <v>185</v>
      </c>
      <c r="B46" t="s">
        <v>17</v>
      </c>
      <c r="C46" s="2" t="str">
        <f>HYPERLINK("https://brasilprev.gupy.io/","Abrir")</f>
        <v>Abrir</v>
      </c>
    </row>
    <row r="47" spans="1:6" x14ac:dyDescent="0.3">
      <c r="A47" t="s">
        <v>186</v>
      </c>
      <c r="D47" t="s">
        <v>17</v>
      </c>
      <c r="E47" s="2" t="str">
        <f>HYPERLINK("https://brqdigitalsolutions.inhire.app/vagas","Abrir")</f>
        <v>Abrir</v>
      </c>
      <c r="F47">
        <v>0</v>
      </c>
    </row>
    <row r="48" spans="1:6" x14ac:dyDescent="0.3">
      <c r="A48" t="s">
        <v>187</v>
      </c>
      <c r="B48" t="s">
        <v>17</v>
      </c>
      <c r="C48" s="2" t="str">
        <f>HYPERLINK("https://burgerking.gupy.io/","Abrir")</f>
        <v>Abrir</v>
      </c>
    </row>
    <row r="49" spans="1:6" x14ac:dyDescent="0.3">
      <c r="A49" t="s">
        <v>188</v>
      </c>
      <c r="D49" t="s">
        <v>17</v>
      </c>
      <c r="E49" s="2" t="str">
        <f>HYPERLINK("https://willbank.inhire.app/vagas","Abrir")</f>
        <v>Abrir</v>
      </c>
      <c r="F49">
        <v>0</v>
      </c>
    </row>
    <row r="50" spans="1:6" x14ac:dyDescent="0.3">
      <c r="A50" t="s">
        <v>189</v>
      </c>
      <c r="B50" t="s">
        <v>17</v>
      </c>
      <c r="C50" s="2" t="str">
        <f>HYPERLINK("https://cabonnet.gupy.io/","Abrir")</f>
        <v>Abrir</v>
      </c>
    </row>
    <row r="51" spans="1:6" x14ac:dyDescent="0.3">
      <c r="A51" t="s">
        <v>29</v>
      </c>
      <c r="B51" t="s">
        <v>17</v>
      </c>
      <c r="C51" s="2" t="str">
        <f>HYPERLINK("https://cadastra.gupy.io/","Abrir")</f>
        <v>Abrir</v>
      </c>
    </row>
    <row r="52" spans="1:6" x14ac:dyDescent="0.3">
      <c r="A52" t="s">
        <v>190</v>
      </c>
      <c r="D52" t="s">
        <v>17</v>
      </c>
      <c r="E52" s="2" t="str">
        <f>HYPERLINK("https://cadmus.inhire.app/vagas","Abrir")</f>
        <v>Abrir</v>
      </c>
      <c r="F52">
        <v>0</v>
      </c>
    </row>
    <row r="53" spans="1:6" x14ac:dyDescent="0.3">
      <c r="A53" t="s">
        <v>191</v>
      </c>
      <c r="B53" t="s">
        <v>17</v>
      </c>
      <c r="C53" s="2" t="str">
        <f>HYPERLINK("https://caju.gupy.io/","Abrir")</f>
        <v>Abrir</v>
      </c>
    </row>
    <row r="54" spans="1:6" x14ac:dyDescent="0.3">
      <c r="A54" t="s">
        <v>192</v>
      </c>
      <c r="D54" t="s">
        <v>17</v>
      </c>
      <c r="E54" s="2" t="str">
        <f>HYPERLINK("https://cerc.inhire.app/vagas","Abrir")</f>
        <v>Abrir</v>
      </c>
      <c r="F54">
        <v>19</v>
      </c>
    </row>
    <row r="55" spans="1:6" x14ac:dyDescent="0.3">
      <c r="A55" t="s">
        <v>193</v>
      </c>
      <c r="D55" t="s">
        <v>17</v>
      </c>
      <c r="E55" s="2" t="str">
        <f>HYPERLINK("https://grupocentral.inhire.app/vagas","Abrir")</f>
        <v>Abrir</v>
      </c>
      <c r="F55">
        <v>21</v>
      </c>
    </row>
    <row r="56" spans="1:6" x14ac:dyDescent="0.3">
      <c r="A56" t="s">
        <v>194</v>
      </c>
      <c r="B56" t="s">
        <v>17</v>
      </c>
      <c r="C56" s="2" t="str">
        <f>HYPERLINK("https://cesar.gupy.io/","Abrir")</f>
        <v>Abrir</v>
      </c>
    </row>
    <row r="57" spans="1:6" x14ac:dyDescent="0.3">
      <c r="A57" t="s">
        <v>195</v>
      </c>
      <c r="B57" t="s">
        <v>17</v>
      </c>
      <c r="C57" s="2" t="str">
        <f>HYPERLINK("https://ciahering.gupy.io/","Abrir")</f>
        <v>Abrir</v>
      </c>
    </row>
    <row r="58" spans="1:6" x14ac:dyDescent="0.3">
      <c r="A58" t="s">
        <v>196</v>
      </c>
      <c r="D58" t="s">
        <v>17</v>
      </c>
      <c r="E58" s="2" t="str">
        <f>HYPERLINK("https://cielo.inhire.app/vagas","Abrir")</f>
        <v>Abrir</v>
      </c>
      <c r="F58">
        <v>22</v>
      </c>
    </row>
    <row r="59" spans="1:6" x14ac:dyDescent="0.3">
      <c r="A59" t="s">
        <v>197</v>
      </c>
      <c r="B59" t="s">
        <v>17</v>
      </c>
      <c r="C59" s="2" t="str">
        <f>HYPERLINK("https://clearsale.gupy.io/","Abrir")</f>
        <v>Abrir</v>
      </c>
    </row>
    <row r="60" spans="1:6" x14ac:dyDescent="0.3">
      <c r="A60" t="s">
        <v>198</v>
      </c>
      <c r="B60" t="s">
        <v>17</v>
      </c>
      <c r="C60" s="2" t="str">
        <f>HYPERLINK("https://clearsale.gupy.io/","Abrir")</f>
        <v>Abrir</v>
      </c>
    </row>
    <row r="61" spans="1:6" x14ac:dyDescent="0.3">
      <c r="A61" t="s">
        <v>199</v>
      </c>
      <c r="B61" t="s">
        <v>17</v>
      </c>
      <c r="C61" s="2" t="str">
        <f>HYPERLINK("https://clickbus.gupy.io/","Abrir")</f>
        <v>Abrir</v>
      </c>
      <c r="D61" t="s">
        <v>17</v>
      </c>
      <c r="E61" s="2" t="str">
        <f>HYPERLINK("https://clickbus.inhire.app/vagas","Abrir")</f>
        <v>Abrir</v>
      </c>
      <c r="F61">
        <v>0</v>
      </c>
    </row>
    <row r="62" spans="1:6" x14ac:dyDescent="0.3">
      <c r="A62" t="s">
        <v>200</v>
      </c>
      <c r="D62" t="s">
        <v>17</v>
      </c>
      <c r="E62" s="2" t="str">
        <f>HYPERLINK("https://cobli.inhire.app/vagas","Abrir")</f>
        <v>Abrir</v>
      </c>
      <c r="F62">
        <v>11</v>
      </c>
    </row>
    <row r="63" spans="1:6" x14ac:dyDescent="0.3">
      <c r="A63" t="s">
        <v>201</v>
      </c>
      <c r="B63" t="s">
        <v>17</v>
      </c>
      <c r="C63" s="2" t="str">
        <f>HYPERLINK("https://cogna.gupy.io/","Abrir")</f>
        <v>Abrir</v>
      </c>
      <c r="D63" t="s">
        <v>17</v>
      </c>
      <c r="E63" s="2" t="str">
        <f>HYPERLINK("https://cogna.inhire.app/vagas","Abrir")</f>
        <v>Abrir</v>
      </c>
      <c r="F63">
        <v>0</v>
      </c>
    </row>
    <row r="64" spans="1:6" x14ac:dyDescent="0.3">
      <c r="A64" t="s">
        <v>202</v>
      </c>
      <c r="B64" t="s">
        <v>17</v>
      </c>
      <c r="C64" s="2" t="str">
        <f>HYPERLINK("https://conductor.gupy.io/","Abrir")</f>
        <v>Abrir</v>
      </c>
    </row>
    <row r="65" spans="1:6" x14ac:dyDescent="0.3">
      <c r="A65" t="s">
        <v>203</v>
      </c>
      <c r="B65" t="s">
        <v>17</v>
      </c>
      <c r="C65" s="2" t="str">
        <f>HYPERLINK("https://conexia.gupy.io/","Abrir")</f>
        <v>Abrir</v>
      </c>
    </row>
    <row r="66" spans="1:6" x14ac:dyDescent="0.3">
      <c r="A66" t="s">
        <v>204</v>
      </c>
      <c r="B66" t="s">
        <v>17</v>
      </c>
      <c r="C66" s="2" t="str">
        <f>HYPERLINK("https://confitec.gupy.io/","Abrir")</f>
        <v>Abrir</v>
      </c>
    </row>
    <row r="67" spans="1:6" x14ac:dyDescent="0.3">
      <c r="A67" t="s">
        <v>205</v>
      </c>
      <c r="B67" t="s">
        <v>17</v>
      </c>
      <c r="C67" s="2" t="str">
        <f>HYPERLINK("https://conquer.gupy.io/","Abrir")</f>
        <v>Abrir</v>
      </c>
    </row>
    <row r="68" spans="1:6" x14ac:dyDescent="0.3">
      <c r="A68" t="s">
        <v>206</v>
      </c>
      <c r="D68" t="s">
        <v>17</v>
      </c>
      <c r="E68" s="2" t="str">
        <f>HYPERLINK("https://rpo-contasimples.inhire.app/vagas","Abrir")</f>
        <v>Abrir</v>
      </c>
      <c r="F68">
        <v>0</v>
      </c>
    </row>
    <row r="69" spans="1:6" x14ac:dyDescent="0.3">
      <c r="A69" t="s">
        <v>41</v>
      </c>
      <c r="D69" t="s">
        <v>17</v>
      </c>
      <c r="E69" s="2" t="str">
        <f>HYPERLINK("https://contabilizei.inhire.app/vagas","Abrir")</f>
        <v>Abrir</v>
      </c>
      <c r="F69">
        <v>61</v>
      </c>
    </row>
    <row r="70" spans="1:6" x14ac:dyDescent="0.3">
      <c r="A70" t="s">
        <v>207</v>
      </c>
      <c r="B70" t="s">
        <v>17</v>
      </c>
      <c r="C70" s="2" t="str">
        <f>HYPERLINK("https://convenia.gupy.io/","Abrir")</f>
        <v>Abrir</v>
      </c>
      <c r="D70" t="s">
        <v>17</v>
      </c>
      <c r="E70" s="2" t="str">
        <f>HYPERLINK("https://convenia.inhire.app/vagas","Abrir")</f>
        <v>Abrir</v>
      </c>
      <c r="F70">
        <v>0</v>
      </c>
    </row>
    <row r="71" spans="1:6" x14ac:dyDescent="0.3">
      <c r="A71" t="s">
        <v>208</v>
      </c>
      <c r="D71" t="s">
        <v>17</v>
      </c>
      <c r="E71" s="2" t="str">
        <f>HYPERLINK("https://cora.inhire.app/vagas","Abrir")</f>
        <v>Abrir</v>
      </c>
      <c r="F71">
        <v>5</v>
      </c>
    </row>
    <row r="72" spans="1:6" x14ac:dyDescent="0.3">
      <c r="A72" t="s">
        <v>209</v>
      </c>
      <c r="B72" t="s">
        <v>17</v>
      </c>
      <c r="C72" s="2" t="str">
        <f>HYPERLINK("https://corebiz.gupy.io/","Abrir")</f>
        <v>Abrir</v>
      </c>
    </row>
    <row r="73" spans="1:6" x14ac:dyDescent="0.3">
      <c r="A73" t="s">
        <v>210</v>
      </c>
      <c r="B73" t="s">
        <v>17</v>
      </c>
      <c r="C73" s="2" t="str">
        <f>HYPERLINK("https://cortex.gupy.io/","Abrir")</f>
        <v>Abrir</v>
      </c>
    </row>
    <row r="74" spans="1:6" x14ac:dyDescent="0.3">
      <c r="A74" t="s">
        <v>211</v>
      </c>
      <c r="B74" t="s">
        <v>17</v>
      </c>
      <c r="C74" s="2" t="str">
        <f>HYPERLINK("https://creditas.gupy.io/","Abrir")</f>
        <v>Abrir</v>
      </c>
      <c r="D74" t="s">
        <v>17</v>
      </c>
      <c r="E74" s="2" t="str">
        <f>HYPERLINK("https://creditas.inhire.app/vagas","Abrir")</f>
        <v>Abrir</v>
      </c>
      <c r="F74">
        <v>0</v>
      </c>
    </row>
    <row r="75" spans="1:6" x14ac:dyDescent="0.3">
      <c r="A75" t="s">
        <v>212</v>
      </c>
      <c r="B75" t="s">
        <v>17</v>
      </c>
      <c r="C75" s="2" t="str">
        <f>HYPERLINK("https://cruzeirodosuleducacional.gupy.io/","Abrir")</f>
        <v>Abrir</v>
      </c>
    </row>
    <row r="76" spans="1:6" x14ac:dyDescent="0.3">
      <c r="A76" t="s">
        <v>213</v>
      </c>
      <c r="D76" t="s">
        <v>17</v>
      </c>
      <c r="E76" s="2" t="str">
        <f>HYPERLINK("https://csptecnologia.inhire.app/vagas","Abrir")</f>
        <v>Abrir</v>
      </c>
      <c r="F76">
        <v>0</v>
      </c>
    </row>
    <row r="77" spans="1:6" x14ac:dyDescent="0.3">
      <c r="A77" t="s">
        <v>214</v>
      </c>
      <c r="B77" t="s">
        <v>17</v>
      </c>
      <c r="C77" s="2" t="str">
        <f>HYPERLINK("https://csu.gupy.io/","Abrir")</f>
        <v>Abrir</v>
      </c>
      <c r="D77" t="s">
        <v>17</v>
      </c>
      <c r="E77" s="2" t="str">
        <f>HYPERLINK("https://csu.inhire.app/vagas","Abrir")</f>
        <v>Abrir</v>
      </c>
      <c r="F77">
        <v>6</v>
      </c>
    </row>
    <row r="78" spans="1:6" x14ac:dyDescent="0.3">
      <c r="A78" t="s">
        <v>215</v>
      </c>
      <c r="D78" t="s">
        <v>17</v>
      </c>
      <c r="E78" s="2" t="str">
        <f>HYPERLINK("https://cubos.inhire.app/vagas","Abrir")</f>
        <v>Abrir</v>
      </c>
      <c r="F78">
        <v>15</v>
      </c>
    </row>
    <row r="79" spans="1:6" x14ac:dyDescent="0.3">
      <c r="A79" t="s">
        <v>216</v>
      </c>
      <c r="B79" t="s">
        <v>17</v>
      </c>
      <c r="C79" s="2" t="str">
        <f>HYPERLINK("https://cvccorp.gupy.io/","Abrir")</f>
        <v>Abrir</v>
      </c>
    </row>
    <row r="80" spans="1:6" x14ac:dyDescent="0.3">
      <c r="A80" t="s">
        <v>217</v>
      </c>
      <c r="B80" t="s">
        <v>17</v>
      </c>
      <c r="C80" s="2" t="str">
        <f>HYPERLINK("https://dafiti.gupy.io/","Abrir")</f>
        <v>Abrir</v>
      </c>
      <c r="D80" t="s">
        <v>17</v>
      </c>
      <c r="E80" s="2" t="str">
        <f>HYPERLINK("https://dafiti.inhire.app/vagas","Abrir")</f>
        <v>Abrir</v>
      </c>
      <c r="F80">
        <v>2</v>
      </c>
    </row>
    <row r="81" spans="1:6" x14ac:dyDescent="0.3">
      <c r="A81" t="s">
        <v>218</v>
      </c>
      <c r="D81" t="s">
        <v>17</v>
      </c>
      <c r="E81" s="2" t="str">
        <f>HYPERLINK("https://db1.inhire.app/vagas","Abrir")</f>
        <v>Abrir</v>
      </c>
      <c r="F81">
        <v>33</v>
      </c>
    </row>
    <row r="82" spans="1:6" x14ac:dyDescent="0.3">
      <c r="A82" t="s">
        <v>219</v>
      </c>
      <c r="D82" t="s">
        <v>17</v>
      </c>
      <c r="E82" s="2" t="str">
        <f>HYPERLINK("https://deal.inhire.app/vagas","Abrir")</f>
        <v>Abrir</v>
      </c>
      <c r="F82">
        <v>15</v>
      </c>
    </row>
    <row r="83" spans="1:6" x14ac:dyDescent="0.3">
      <c r="A83" t="s">
        <v>220</v>
      </c>
      <c r="D83" t="s">
        <v>17</v>
      </c>
      <c r="E83" s="2" t="str">
        <f>HYPERLINK("https://frete.inhire.app/vagas","Abrir")</f>
        <v>Abrir</v>
      </c>
      <c r="F83">
        <v>30</v>
      </c>
    </row>
    <row r="84" spans="1:6" x14ac:dyDescent="0.3">
      <c r="A84" t="s">
        <v>221</v>
      </c>
      <c r="B84" t="s">
        <v>17</v>
      </c>
      <c r="C84" s="2" t="str">
        <f>HYPERLINK("https://deliverymuch.gupy.io/","Abrir")</f>
        <v>Abrir</v>
      </c>
    </row>
    <row r="85" spans="1:6" x14ac:dyDescent="0.3">
      <c r="A85" t="s">
        <v>222</v>
      </c>
      <c r="B85" t="s">
        <v>17</v>
      </c>
      <c r="C85" s="2" t="str">
        <f>HYPERLINK("https://digio.gupy.io/","Abrir")</f>
        <v>Abrir</v>
      </c>
    </row>
    <row r="86" spans="1:6" x14ac:dyDescent="0.3">
      <c r="A86" t="s">
        <v>223</v>
      </c>
      <c r="D86" t="s">
        <v>17</v>
      </c>
      <c r="E86" s="2" t="str">
        <f>HYPERLINK("https://digix.inhire.app/vagas","Abrir")</f>
        <v>Abrir</v>
      </c>
      <c r="F86">
        <v>7</v>
      </c>
    </row>
    <row r="87" spans="1:6" x14ac:dyDescent="0.3">
      <c r="A87" t="s">
        <v>224</v>
      </c>
      <c r="B87" t="s">
        <v>17</v>
      </c>
      <c r="C87" s="2" t="str">
        <f>HYPERLINK("https://dock.gupy.io/","Abrir")</f>
        <v>Abrir</v>
      </c>
      <c r="D87" t="s">
        <v>17</v>
      </c>
      <c r="E87" s="2" t="str">
        <f>HYPERLINK("https://dock.inhire.app/vagas","Abrir")</f>
        <v>Abrir</v>
      </c>
      <c r="F87">
        <v>12</v>
      </c>
    </row>
    <row r="88" spans="1:6" x14ac:dyDescent="0.3">
      <c r="A88" t="s">
        <v>225</v>
      </c>
      <c r="B88" t="s">
        <v>17</v>
      </c>
      <c r="C88" s="2" t="str">
        <f>HYPERLINK("https://docket.gupy.io/","Abrir")</f>
        <v>Abrir</v>
      </c>
    </row>
    <row r="89" spans="1:6" x14ac:dyDescent="0.3">
      <c r="A89" t="s">
        <v>226</v>
      </c>
      <c r="D89" t="s">
        <v>17</v>
      </c>
      <c r="E89" s="2" t="str">
        <f>HYPERLINK("https://dotgroup.inhire.app/vagas","Abrir")</f>
        <v>Abrir</v>
      </c>
      <c r="F89">
        <v>11</v>
      </c>
    </row>
    <row r="90" spans="1:6" x14ac:dyDescent="0.3">
      <c r="A90" t="s">
        <v>227</v>
      </c>
      <c r="B90" t="s">
        <v>17</v>
      </c>
      <c r="C90" s="2" t="str">
        <f>HYPERLINK("https://dotz.gupy.io/","Abrir")</f>
        <v>Abrir</v>
      </c>
    </row>
    <row r="91" spans="1:6" x14ac:dyDescent="0.3">
      <c r="A91" t="s">
        <v>228</v>
      </c>
      <c r="D91" t="s">
        <v>17</v>
      </c>
      <c r="E91" s="2" t="str">
        <f>HYPERLINK("https://dtidigital.inhire.app/vagas","Abrir")</f>
        <v>Abrir</v>
      </c>
      <c r="F91">
        <v>16</v>
      </c>
    </row>
    <row r="92" spans="1:6" x14ac:dyDescent="0.3">
      <c r="A92" t="s">
        <v>229</v>
      </c>
      <c r="D92" t="s">
        <v>17</v>
      </c>
      <c r="E92" s="2" t="str">
        <f>HYPERLINK("https://ecore.inhire.app/vagas","Abrir")</f>
        <v>Abrir</v>
      </c>
      <c r="F92">
        <v>12</v>
      </c>
    </row>
    <row r="93" spans="1:6" x14ac:dyDescent="0.3">
      <c r="A93" t="s">
        <v>230</v>
      </c>
      <c r="D93" t="s">
        <v>17</v>
      </c>
      <c r="E93" s="2" t="str">
        <f>HYPERLINK("https://ebanx.inhire.app/vagas","Abrir")</f>
        <v>Abrir</v>
      </c>
      <c r="F93">
        <v>0</v>
      </c>
    </row>
    <row r="94" spans="1:6" x14ac:dyDescent="0.3">
      <c r="A94" t="s">
        <v>231</v>
      </c>
      <c r="B94" t="s">
        <v>17</v>
      </c>
      <c r="C94" s="2" t="str">
        <f>HYPERLINK("https://econet.gupy.io/","Abrir")</f>
        <v>Abrir</v>
      </c>
    </row>
    <row r="95" spans="1:6" x14ac:dyDescent="0.3">
      <c r="A95" t="s">
        <v>232</v>
      </c>
      <c r="D95" t="s">
        <v>17</v>
      </c>
      <c r="E95" s="2" t="str">
        <f>HYPERLINK("https://edenred.inhire.app/vagas","Abrir")</f>
        <v>Abrir</v>
      </c>
      <c r="F95">
        <v>0</v>
      </c>
    </row>
    <row r="96" spans="1:6" x14ac:dyDescent="0.3">
      <c r="A96" t="s">
        <v>233</v>
      </c>
      <c r="D96" t="s">
        <v>17</v>
      </c>
      <c r="E96" s="2" t="str">
        <f>HYPERLINK("https://elogroup.inhire.app/vagas","Abrir")</f>
        <v>Abrir</v>
      </c>
      <c r="F96">
        <v>7</v>
      </c>
    </row>
    <row r="97" spans="1:6" x14ac:dyDescent="0.3">
      <c r="A97" t="s">
        <v>234</v>
      </c>
      <c r="D97" t="s">
        <v>17</v>
      </c>
      <c r="E97" s="2" t="str">
        <f>HYPERLINK("https://enjoei.inhire.app/vagas","Abrir")</f>
        <v>Abrir</v>
      </c>
      <c r="F97">
        <v>8</v>
      </c>
    </row>
    <row r="98" spans="1:6" x14ac:dyDescent="0.3">
      <c r="A98" t="s">
        <v>235</v>
      </c>
      <c r="D98" t="s">
        <v>17</v>
      </c>
      <c r="E98" s="2" t="str">
        <f>HYPERLINK("https://tegra.inhire.app/vagas","Abrir")</f>
        <v>Abrir</v>
      </c>
      <c r="F98">
        <v>0</v>
      </c>
    </row>
    <row r="99" spans="1:6" x14ac:dyDescent="0.3">
      <c r="A99" t="s">
        <v>236</v>
      </c>
      <c r="B99" t="s">
        <v>17</v>
      </c>
      <c r="C99" s="2" t="str">
        <f>HYPERLINK("https://evino.gupy.io/","Abrir")</f>
        <v>Abrir</v>
      </c>
    </row>
    <row r="100" spans="1:6" x14ac:dyDescent="0.3">
      <c r="A100" t="s">
        <v>237</v>
      </c>
      <c r="D100" t="s">
        <v>17</v>
      </c>
      <c r="E100" s="2" t="str">
        <f>HYPERLINK("https://exati.inhire.app/vagas","Abrir")</f>
        <v>Abrir</v>
      </c>
      <c r="F100">
        <v>7</v>
      </c>
    </row>
    <row r="101" spans="1:6" x14ac:dyDescent="0.3">
      <c r="A101" t="s">
        <v>238</v>
      </c>
      <c r="D101" t="s">
        <v>17</v>
      </c>
      <c r="E101" s="2" t="str">
        <f>HYPERLINK("https://extremegroup.inhire.app/vagas","Abrir")</f>
        <v>Abrir</v>
      </c>
      <c r="F101">
        <v>13</v>
      </c>
    </row>
    <row r="102" spans="1:6" x14ac:dyDescent="0.3">
      <c r="A102" t="s">
        <v>239</v>
      </c>
      <c r="D102" t="s">
        <v>17</v>
      </c>
      <c r="E102" s="2" t="str">
        <f>HYPERLINK("https://falconi.inhire.app/vagas","Abrir")</f>
        <v>Abrir</v>
      </c>
      <c r="F102">
        <v>0</v>
      </c>
    </row>
    <row r="103" spans="1:6" x14ac:dyDescent="0.3">
      <c r="A103" t="s">
        <v>240</v>
      </c>
      <c r="B103" t="s">
        <v>17</v>
      </c>
      <c r="C103" s="2" t="str">
        <f>HYPERLINK("https://fastshop.gupy.io/","Abrir")</f>
        <v>Abrir</v>
      </c>
    </row>
    <row r="104" spans="1:6" x14ac:dyDescent="0.3">
      <c r="A104" t="s">
        <v>241</v>
      </c>
      <c r="D104" t="s">
        <v>17</v>
      </c>
      <c r="E104" s="2" t="str">
        <f>HYPERLINK("https://fbiz.inhire.app/vagas","Abrir")</f>
        <v>Abrir</v>
      </c>
      <c r="F104">
        <v>0</v>
      </c>
    </row>
    <row r="105" spans="1:6" x14ac:dyDescent="0.3">
      <c r="A105" t="s">
        <v>242</v>
      </c>
      <c r="B105" t="s">
        <v>17</v>
      </c>
      <c r="C105" s="2" t="str">
        <f>HYPERLINK("https://fcamara.gupy.io/","Abrir")</f>
        <v>Abrir</v>
      </c>
      <c r="D105" t="s">
        <v>17</v>
      </c>
      <c r="E105" s="2" t="str">
        <f>HYPERLINK("https://fcamara.inhire.app/vagas","Abrir")</f>
        <v>Abrir</v>
      </c>
      <c r="F105">
        <v>0</v>
      </c>
    </row>
    <row r="106" spans="1:6" x14ac:dyDescent="0.3">
      <c r="A106" t="s">
        <v>243</v>
      </c>
      <c r="B106" t="s">
        <v>17</v>
      </c>
      <c r="C106" s="2" t="str">
        <f>HYPERLINK("https://fitec.gupy.io/","Abrir")</f>
        <v>Abrir</v>
      </c>
    </row>
    <row r="107" spans="1:6" x14ac:dyDescent="0.3">
      <c r="A107" t="s">
        <v>244</v>
      </c>
      <c r="D107" t="s">
        <v>17</v>
      </c>
      <c r="E107" s="2" t="str">
        <f>HYPERLINK("https://flash.inhire.app/vagas","Abrir")</f>
        <v>Abrir</v>
      </c>
      <c r="F107">
        <v>0</v>
      </c>
    </row>
    <row r="108" spans="1:6" x14ac:dyDescent="0.3">
      <c r="A108" t="s">
        <v>245</v>
      </c>
      <c r="B108" t="s">
        <v>17</v>
      </c>
      <c r="C108" s="2" t="str">
        <f>HYPERLINK("https://fortlev.gupy.io/","Abrir")</f>
        <v>Abrir</v>
      </c>
    </row>
    <row r="109" spans="1:6" x14ac:dyDescent="0.3">
      <c r="A109" t="s">
        <v>246</v>
      </c>
      <c r="B109" t="s">
        <v>17</v>
      </c>
      <c r="C109" s="2" t="str">
        <f>HYPERLINK("https://gamersclub.gupy.io/","Abrir")</f>
        <v>Abrir</v>
      </c>
      <c r="D109" t="s">
        <v>17</v>
      </c>
      <c r="E109" s="2" t="str">
        <f>HYPERLINK("https://residclub.inhire.app/vagas","Abrir")</f>
        <v>Abrir</v>
      </c>
      <c r="F109">
        <v>26</v>
      </c>
    </row>
    <row r="110" spans="1:6" x14ac:dyDescent="0.3">
      <c r="A110" t="s">
        <v>247</v>
      </c>
      <c r="D110" t="s">
        <v>17</v>
      </c>
      <c r="E110" s="2" t="str">
        <f>HYPERLINK("https://gauge.inhire.app/vagas","Abrir")</f>
        <v>Abrir</v>
      </c>
      <c r="F110">
        <v>0</v>
      </c>
    </row>
    <row r="111" spans="1:6" x14ac:dyDescent="0.3">
      <c r="A111" t="s">
        <v>248</v>
      </c>
      <c r="B111" t="s">
        <v>17</v>
      </c>
      <c r="C111" s="2" t="str">
        <f>HYPERLINK("https://gavb.gupy.io/","Abrir")</f>
        <v>Abrir</v>
      </c>
    </row>
    <row r="112" spans="1:6" x14ac:dyDescent="0.3">
      <c r="A112" t="s">
        <v>249</v>
      </c>
      <c r="B112" t="s">
        <v>17</v>
      </c>
      <c r="C112" s="2" t="str">
        <f>HYPERLINK("https://genial.gupy.io/","Abrir")</f>
        <v>Abrir</v>
      </c>
    </row>
    <row r="113" spans="1:6" x14ac:dyDescent="0.3">
      <c r="A113" t="s">
        <v>250</v>
      </c>
      <c r="D113" t="s">
        <v>17</v>
      </c>
      <c r="E113" s="2" t="str">
        <f>HYPERLINK("https://gerdau.inhire.app/vagas","Abrir")</f>
        <v>Abrir</v>
      </c>
      <c r="F113">
        <v>0</v>
      </c>
    </row>
    <row r="114" spans="1:6" x14ac:dyDescent="0.3">
      <c r="A114" t="s">
        <v>251</v>
      </c>
      <c r="B114" t="s">
        <v>17</v>
      </c>
      <c r="C114" s="2" t="str">
        <f>HYPERLINK("https://globalhitss.gupy.io/","Abrir")</f>
        <v>Abrir</v>
      </c>
    </row>
    <row r="115" spans="1:6" x14ac:dyDescent="0.3">
      <c r="A115" t="s">
        <v>252</v>
      </c>
      <c r="B115" t="s">
        <v>17</v>
      </c>
      <c r="C115" s="2" t="str">
        <f>HYPERLINK("https://gpa.gupy.io/","Abrir")</f>
        <v>Abrir</v>
      </c>
    </row>
    <row r="116" spans="1:6" x14ac:dyDescent="0.3">
      <c r="A116" t="s">
        <v>253</v>
      </c>
      <c r="B116" t="s">
        <v>17</v>
      </c>
      <c r="C116" s="2" t="str">
        <f>HYPERLINK("https://grupoboticario.gupy.io/","Abrir")</f>
        <v>Abrir</v>
      </c>
      <c r="D116" t="s">
        <v>17</v>
      </c>
      <c r="E116" s="2" t="str">
        <f>HYPERLINK("https://grupoboticario.inhire.app/vagas","Abrir")</f>
        <v>Abrir</v>
      </c>
      <c r="F116">
        <v>2</v>
      </c>
    </row>
    <row r="117" spans="1:6" x14ac:dyDescent="0.3">
      <c r="A117" t="s">
        <v>254</v>
      </c>
      <c r="B117" t="s">
        <v>17</v>
      </c>
      <c r="C117" s="2" t="str">
        <f>HYPERLINK("https://fcamara.gupy.io/","Abrir")</f>
        <v>Abrir</v>
      </c>
    </row>
    <row r="118" spans="1:6" x14ac:dyDescent="0.3">
      <c r="A118" t="s">
        <v>255</v>
      </c>
      <c r="B118" t="s">
        <v>17</v>
      </c>
      <c r="C118" s="2" t="str">
        <f>HYPERLINK("https://grupomag.gupy.io/","Abrir")</f>
        <v>Abrir</v>
      </c>
    </row>
    <row r="119" spans="1:6" x14ac:dyDescent="0.3">
      <c r="A119" t="s">
        <v>256</v>
      </c>
      <c r="D119" t="s">
        <v>17</v>
      </c>
      <c r="E119" s="2" t="str">
        <f>HYPERLINK("https://harpia.inhire.app/vagas","Abrir")</f>
        <v>Abrir</v>
      </c>
      <c r="F119">
        <v>11</v>
      </c>
    </row>
    <row r="120" spans="1:6" x14ac:dyDescent="0.3">
      <c r="A120" t="s">
        <v>257</v>
      </c>
      <c r="B120" t="s">
        <v>17</v>
      </c>
      <c r="C120" s="2" t="str">
        <f>HYPERLINK("https://hbsis.gupy.io/","Abrir")</f>
        <v>Abrir</v>
      </c>
    </row>
    <row r="121" spans="1:6" x14ac:dyDescent="0.3">
      <c r="A121" t="s">
        <v>258</v>
      </c>
      <c r="B121" t="s">
        <v>17</v>
      </c>
      <c r="C121" s="2" t="str">
        <f>HYPERLINK("https://hdiseguros.gupy.io/","Abrir")</f>
        <v>Abrir</v>
      </c>
    </row>
    <row r="122" spans="1:6" x14ac:dyDescent="0.3">
      <c r="A122" t="s">
        <v>259</v>
      </c>
      <c r="B122" t="s">
        <v>17</v>
      </c>
      <c r="C122" s="2" t="str">
        <f>HYPERLINK("https://hering.gupy.io/","Abrir")</f>
        <v>Abrir</v>
      </c>
    </row>
    <row r="123" spans="1:6" x14ac:dyDescent="0.3">
      <c r="A123" t="s">
        <v>260</v>
      </c>
      <c r="D123" t="s">
        <v>17</v>
      </c>
      <c r="E123" s="2" t="str">
        <f>HYPERLINK("https://platformbuilders.inhire.app/vagas","Abrir")</f>
        <v>Abrir</v>
      </c>
      <c r="F123">
        <v>8</v>
      </c>
    </row>
    <row r="124" spans="1:6" x14ac:dyDescent="0.3">
      <c r="A124" t="s">
        <v>261</v>
      </c>
      <c r="D124" t="s">
        <v>17</v>
      </c>
      <c r="E124" s="2" t="str">
        <f>HYPERLINK("https://sharepeoplehub.inhire.app/vagas","Abrir")</f>
        <v>Abrir</v>
      </c>
      <c r="F124">
        <v>73</v>
      </c>
    </row>
    <row r="125" spans="1:6" x14ac:dyDescent="0.3">
      <c r="A125" t="s">
        <v>262</v>
      </c>
      <c r="D125" t="s">
        <v>17</v>
      </c>
      <c r="E125" s="2" t="str">
        <f>HYPERLINK("https://icatuseguros.inhire.app/vagas","Abrir")</f>
        <v>Abrir</v>
      </c>
      <c r="F125">
        <v>0</v>
      </c>
    </row>
    <row r="126" spans="1:6" x14ac:dyDescent="0.3">
      <c r="A126" t="s">
        <v>263</v>
      </c>
      <c r="D126" t="s">
        <v>17</v>
      </c>
      <c r="E126" s="2" t="str">
        <f>HYPERLINK("https://idwall.inhire.app/vagas","Abrir")</f>
        <v>Abrir</v>
      </c>
      <c r="F126">
        <v>8</v>
      </c>
    </row>
    <row r="127" spans="1:6" x14ac:dyDescent="0.3">
      <c r="A127" t="s">
        <v>264</v>
      </c>
      <c r="D127" t="s">
        <v>17</v>
      </c>
      <c r="E127" s="2" t="str">
        <f>HYPERLINK("https://ifood.inhire.app/vagas","Abrir")</f>
        <v>Abrir</v>
      </c>
      <c r="F127">
        <v>0</v>
      </c>
    </row>
    <row r="128" spans="1:6" x14ac:dyDescent="0.3">
      <c r="A128" t="s">
        <v>265</v>
      </c>
      <c r="D128" t="s">
        <v>17</v>
      </c>
      <c r="E128" s="2" t="str">
        <f>HYPERLINK("https://impulsogov.inhire.app/vagas","Abrir")</f>
        <v>Abrir</v>
      </c>
      <c r="F128">
        <v>3</v>
      </c>
    </row>
    <row r="129" spans="1:6" x14ac:dyDescent="0.3">
      <c r="A129" t="s">
        <v>266</v>
      </c>
      <c r="B129" t="s">
        <v>17</v>
      </c>
      <c r="C129" s="2" t="str">
        <f>HYPERLINK("https://inmetrics.gupy.io/","Abrir")</f>
        <v>Abrir</v>
      </c>
    </row>
    <row r="130" spans="1:6" x14ac:dyDescent="0.3">
      <c r="A130" t="s">
        <v>267</v>
      </c>
      <c r="D130" t="s">
        <v>17</v>
      </c>
      <c r="E130" s="2" t="str">
        <f>HYPERLINK("https://instacarro.inhire.app/vagas","Abrir")</f>
        <v>Abrir</v>
      </c>
      <c r="F130">
        <v>15</v>
      </c>
    </row>
    <row r="131" spans="1:6" x14ac:dyDescent="0.3">
      <c r="A131" t="s">
        <v>268</v>
      </c>
      <c r="D131" t="s">
        <v>17</v>
      </c>
      <c r="E131" s="2" t="str">
        <f>HYPERLINK("https://alana.inhire.app/vagas","Abrir")</f>
        <v>Abrir</v>
      </c>
      <c r="F131">
        <v>3</v>
      </c>
    </row>
    <row r="132" spans="1:6" x14ac:dyDescent="0.3">
      <c r="A132" t="s">
        <v>269</v>
      </c>
      <c r="B132" t="s">
        <v>17</v>
      </c>
      <c r="C132" s="2" t="str">
        <f>HYPERLINK("https://intelipost.gupy.io/","Abrir")</f>
        <v>Abrir</v>
      </c>
    </row>
    <row r="133" spans="1:6" x14ac:dyDescent="0.3">
      <c r="A133" t="s">
        <v>270</v>
      </c>
      <c r="D133" t="s">
        <v>17</v>
      </c>
      <c r="E133" s="2" t="str">
        <f>HYPERLINK("https://intertechne.inhire.app/vagas","Abrir")</f>
        <v>Abrir</v>
      </c>
      <c r="F133">
        <v>89</v>
      </c>
    </row>
    <row r="134" spans="1:6" x14ac:dyDescent="0.3">
      <c r="A134" t="s">
        <v>271</v>
      </c>
      <c r="B134" t="s">
        <v>17</v>
      </c>
      <c r="C134" s="2" t="str">
        <f>HYPERLINK("https://invillia.gupy.io/","Abrir")</f>
        <v>Abrir</v>
      </c>
    </row>
    <row r="135" spans="1:6" x14ac:dyDescent="0.3">
      <c r="A135" t="s">
        <v>272</v>
      </c>
      <c r="D135" t="s">
        <v>17</v>
      </c>
      <c r="E135" s="2" t="str">
        <f>HYPERLINK("https://involves.inhire.app/vagas","Abrir")</f>
        <v>Abrir</v>
      </c>
      <c r="F135">
        <v>5</v>
      </c>
    </row>
    <row r="136" spans="1:6" x14ac:dyDescent="0.3">
      <c r="A136" t="s">
        <v>273</v>
      </c>
      <c r="B136" t="s">
        <v>17</v>
      </c>
      <c r="C136" s="2" t="str">
        <f>HYPERLINK("https://ishtecnologia.gupy.io/","Abrir")</f>
        <v>Abrir</v>
      </c>
    </row>
    <row r="137" spans="1:6" x14ac:dyDescent="0.3">
      <c r="A137" t="s">
        <v>274</v>
      </c>
      <c r="D137" t="s">
        <v>17</v>
      </c>
      <c r="E137" s="2" t="str">
        <f>HYPERLINK("https://prizmamidia.inhire.app/vagas","Abrir")</f>
        <v>Abrir</v>
      </c>
      <c r="F137">
        <v>7</v>
      </c>
    </row>
    <row r="138" spans="1:6" x14ac:dyDescent="0.3">
      <c r="A138" t="s">
        <v>275</v>
      </c>
      <c r="D138" t="s">
        <v>17</v>
      </c>
      <c r="E138" s="2" t="str">
        <f>HYPERLINK("https://iteris.inhire.app/vagas","Abrir")</f>
        <v>Abrir</v>
      </c>
      <c r="F138">
        <v>2</v>
      </c>
    </row>
    <row r="139" spans="1:6" x14ac:dyDescent="0.3">
      <c r="A139" t="s">
        <v>276</v>
      </c>
      <c r="D139" t="s">
        <v>17</v>
      </c>
      <c r="E139" s="2" t="str">
        <f>HYPERLINK("https://mediahero.inhire.app/vagas","Abrir")</f>
        <v>Abrir</v>
      </c>
      <c r="F139">
        <v>7</v>
      </c>
    </row>
    <row r="140" spans="1:6" x14ac:dyDescent="0.3">
      <c r="A140" t="s">
        <v>277</v>
      </c>
      <c r="B140" t="s">
        <v>17</v>
      </c>
      <c r="C140" s="2" t="str">
        <f>HYPERLINK("https://konecta.gupy.io/","Abrir")</f>
        <v>Abrir</v>
      </c>
    </row>
    <row r="141" spans="1:6" x14ac:dyDescent="0.3">
      <c r="A141" t="s">
        <v>278</v>
      </c>
      <c r="B141" t="s">
        <v>17</v>
      </c>
      <c r="C141" s="2" t="str">
        <f>HYPERLINK("https://kovi.gupy.io/","Abrir")</f>
        <v>Abrir</v>
      </c>
    </row>
    <row r="142" spans="1:6" x14ac:dyDescent="0.3">
      <c r="A142" t="s">
        <v>49</v>
      </c>
      <c r="D142" t="s">
        <v>17</v>
      </c>
      <c r="E142" s="2" t="str">
        <f>HYPERLINK("https://kpmg.inhire.app/vagas","Abrir")</f>
        <v>Abrir</v>
      </c>
      <c r="F142">
        <v>185</v>
      </c>
    </row>
    <row r="143" spans="1:6" x14ac:dyDescent="0.3">
      <c r="A143" t="s">
        <v>279</v>
      </c>
      <c r="D143" t="s">
        <v>17</v>
      </c>
      <c r="E143" s="2" t="str">
        <f>HYPERLINK("https://labisaude.inhire.app/vagas","Abrir")</f>
        <v>Abrir</v>
      </c>
      <c r="F143">
        <v>6</v>
      </c>
    </row>
    <row r="144" spans="1:6" x14ac:dyDescent="0.3">
      <c r="A144" t="s">
        <v>280</v>
      </c>
      <c r="D144" t="s">
        <v>17</v>
      </c>
      <c r="E144" s="2" t="str">
        <f>HYPERLINK("https://lastlink.inhire.app/vagas","Abrir")</f>
        <v>Abrir</v>
      </c>
      <c r="F144">
        <v>8</v>
      </c>
    </row>
    <row r="145" spans="1:6" x14ac:dyDescent="0.3">
      <c r="A145" t="s">
        <v>281</v>
      </c>
      <c r="B145" t="s">
        <v>17</v>
      </c>
      <c r="C145" s="2" t="str">
        <f>HYPERLINK("https://leega.gupy.io/","Abrir")</f>
        <v>Abrir</v>
      </c>
    </row>
    <row r="146" spans="1:6" x14ac:dyDescent="0.3">
      <c r="A146" t="s">
        <v>282</v>
      </c>
      <c r="D146" t="s">
        <v>17</v>
      </c>
      <c r="E146" s="2" t="str">
        <f>HYPERLINK("https://hh-lello.inhire.app/vagas","Abrir")</f>
        <v>Abrir</v>
      </c>
      <c r="F146">
        <v>1</v>
      </c>
    </row>
    <row r="147" spans="1:6" x14ac:dyDescent="0.3">
      <c r="A147" t="s">
        <v>283</v>
      </c>
      <c r="D147" t="s">
        <v>17</v>
      </c>
      <c r="E147" s="2" t="str">
        <f>HYPERLINK("https://linx.inhire.app/vagas","Abrir")</f>
        <v>Abrir</v>
      </c>
      <c r="F147">
        <v>0</v>
      </c>
    </row>
    <row r="148" spans="1:6" x14ac:dyDescent="0.3">
      <c r="A148" t="s">
        <v>284</v>
      </c>
      <c r="D148" t="s">
        <v>17</v>
      </c>
      <c r="E148" s="2" t="str">
        <f>HYPERLINK("https://listo.inhire.app/vagas","Abrir")</f>
        <v>Abrir</v>
      </c>
      <c r="F148">
        <v>12</v>
      </c>
    </row>
    <row r="149" spans="1:6" x14ac:dyDescent="0.3">
      <c r="A149" t="s">
        <v>285</v>
      </c>
      <c r="D149" t="s">
        <v>17</v>
      </c>
      <c r="E149" s="2" t="str">
        <f>HYPERLINK("https://livelo.inhire.app/vagas","Abrir")</f>
        <v>Abrir</v>
      </c>
      <c r="F149">
        <v>11</v>
      </c>
    </row>
    <row r="150" spans="1:6" x14ac:dyDescent="0.3">
      <c r="A150" t="s">
        <v>286</v>
      </c>
      <c r="B150" t="s">
        <v>17</v>
      </c>
      <c r="C150" s="2" t="str">
        <f>HYPERLINK("https://localiza.gupy.io/","Abrir")</f>
        <v>Abrir</v>
      </c>
    </row>
    <row r="151" spans="1:6" x14ac:dyDescent="0.3">
      <c r="A151" t="s">
        <v>287</v>
      </c>
      <c r="D151" t="s">
        <v>17</v>
      </c>
      <c r="E151" s="2" t="str">
        <f>HYPERLINK("https://loft.inhire.app/vagas","Abrir")</f>
        <v>Abrir</v>
      </c>
      <c r="F151">
        <v>0</v>
      </c>
    </row>
    <row r="152" spans="1:6" x14ac:dyDescent="0.3">
      <c r="A152" t="s">
        <v>288</v>
      </c>
      <c r="D152" t="s">
        <v>17</v>
      </c>
      <c r="E152" s="2" t="str">
        <f>HYPERLINK("https://loggi.inhire.app/vagas","Abrir")</f>
        <v>Abrir</v>
      </c>
      <c r="F152">
        <v>2</v>
      </c>
    </row>
    <row r="153" spans="1:6" x14ac:dyDescent="0.3">
      <c r="A153" t="s">
        <v>289</v>
      </c>
      <c r="B153" t="s">
        <v>17</v>
      </c>
      <c r="C153" s="2" t="str">
        <f>HYPERLINK("https://lojasrenner.gupy.io/","Abrir")</f>
        <v>Abrir</v>
      </c>
    </row>
    <row r="154" spans="1:6" x14ac:dyDescent="0.3">
      <c r="A154" t="s">
        <v>290</v>
      </c>
      <c r="B154" t="s">
        <v>17</v>
      </c>
      <c r="C154" s="2" t="str">
        <f>HYPERLINK("https://looqbox.gupy.io/","Abrir")</f>
        <v>Abrir</v>
      </c>
    </row>
    <row r="155" spans="1:6" x14ac:dyDescent="0.3">
      <c r="A155" t="s">
        <v>291</v>
      </c>
      <c r="B155" t="s">
        <v>17</v>
      </c>
      <c r="C155" s="2" t="str">
        <f>HYPERLINK("https://m4u.gupy.io/","Abrir")</f>
        <v>Abrir</v>
      </c>
    </row>
    <row r="156" spans="1:6" x14ac:dyDescent="0.3">
      <c r="A156" t="s">
        <v>292</v>
      </c>
      <c r="D156" t="s">
        <v>17</v>
      </c>
      <c r="E156" s="2" t="str">
        <f>HYPERLINK("https://magazineluiza.inhire.app/vagas","Abrir")</f>
        <v>Abrir</v>
      </c>
      <c r="F156">
        <v>21</v>
      </c>
    </row>
    <row r="157" spans="1:6" x14ac:dyDescent="0.3">
      <c r="A157" t="s">
        <v>293</v>
      </c>
      <c r="D157" t="s">
        <v>17</v>
      </c>
      <c r="E157" s="2" t="str">
        <f>HYPERLINK("https://magnasearch.inhire.app/vagas","Abrir")</f>
        <v>Abrir</v>
      </c>
      <c r="F157">
        <v>27</v>
      </c>
    </row>
    <row r="158" spans="1:6" x14ac:dyDescent="0.3">
      <c r="A158" t="s">
        <v>294</v>
      </c>
      <c r="B158" t="s">
        <v>17</v>
      </c>
      <c r="C158" s="2" t="str">
        <f>HYPERLINK("https://mandae.gupy.io/","Abrir")</f>
        <v>Abrir</v>
      </c>
    </row>
    <row r="159" spans="1:6" x14ac:dyDescent="0.3">
      <c r="A159" t="s">
        <v>295</v>
      </c>
      <c r="D159" t="s">
        <v>17</v>
      </c>
      <c r="E159" s="2" t="str">
        <f>HYPERLINK("https://matera.inhire.app/vagas","Abrir")</f>
        <v>Abrir</v>
      </c>
      <c r="F159">
        <v>7</v>
      </c>
    </row>
    <row r="160" spans="1:6" x14ac:dyDescent="0.3">
      <c r="A160" t="s">
        <v>296</v>
      </c>
      <c r="D160" t="s">
        <v>17</v>
      </c>
      <c r="E160" s="2" t="str">
        <f>HYPERLINK("https://mazzatech.inhire.app/vagas","Abrir")</f>
        <v>Abrir</v>
      </c>
      <c r="F160">
        <v>94</v>
      </c>
    </row>
    <row r="161" spans="1:6" x14ac:dyDescent="0.3">
      <c r="A161" t="s">
        <v>297</v>
      </c>
      <c r="B161" t="s">
        <v>17</v>
      </c>
      <c r="C161" s="2" t="str">
        <f>HYPERLINK("https://meliuz.gupy.io/","Abrir")</f>
        <v>Abrir</v>
      </c>
      <c r="D161" t="s">
        <v>17</v>
      </c>
      <c r="E161" s="2" t="str">
        <f>HYPERLINK("https://meliuz.inhire.app/vagas","Abrir")</f>
        <v>Abrir</v>
      </c>
      <c r="F161">
        <v>0</v>
      </c>
    </row>
    <row r="162" spans="1:6" x14ac:dyDescent="0.3">
      <c r="A162" t="s">
        <v>298</v>
      </c>
      <c r="D162" t="s">
        <v>17</v>
      </c>
      <c r="E162" s="2" t="str">
        <f>HYPERLINK("https://mb.inhire.app/vagas","Abrir")</f>
        <v>Abrir</v>
      </c>
      <c r="F162">
        <v>10</v>
      </c>
    </row>
    <row r="163" spans="1:6" x14ac:dyDescent="0.3">
      <c r="A163" t="s">
        <v>299</v>
      </c>
      <c r="B163" t="s">
        <v>17</v>
      </c>
      <c r="C163" s="2" t="str">
        <f>HYPERLINK("https://mlabs.gupy.io/","Abrir")</f>
        <v>Abrir</v>
      </c>
    </row>
    <row r="164" spans="1:6" x14ac:dyDescent="0.3">
      <c r="A164" t="s">
        <v>300</v>
      </c>
      <c r="B164" t="s">
        <v>17</v>
      </c>
      <c r="C164" s="2" t="str">
        <f>HYPERLINK("https://mobit.gupy.io/","Abrir")</f>
        <v>Abrir</v>
      </c>
    </row>
    <row r="165" spans="1:6" x14ac:dyDescent="0.3">
      <c r="A165" t="s">
        <v>301</v>
      </c>
      <c r="B165" t="s">
        <v>17</v>
      </c>
      <c r="C165" s="2" t="str">
        <f>HYPERLINK("https://montreal.gupy.io/","Abrir")</f>
        <v>Abrir</v>
      </c>
    </row>
    <row r="166" spans="1:6" x14ac:dyDescent="0.3">
      <c r="A166" t="s">
        <v>302</v>
      </c>
      <c r="B166" t="s">
        <v>17</v>
      </c>
      <c r="C166" s="2" t="str">
        <f>HYPERLINK("https://movida.gupy.io/","Abrir")</f>
        <v>Abrir</v>
      </c>
    </row>
    <row r="167" spans="1:6" x14ac:dyDescent="0.3">
      <c r="A167" t="s">
        <v>303</v>
      </c>
      <c r="B167" t="s">
        <v>17</v>
      </c>
      <c r="C167" s="2" t="str">
        <f>HYPERLINK("https://mundiale.gupy.io/","Abrir")</f>
        <v>Abrir</v>
      </c>
      <c r="D167" t="s">
        <v>17</v>
      </c>
      <c r="E167" s="2" t="str">
        <f>HYPERLINK("https://mundiale.inhire.app/vagas","Abrir")</f>
        <v>Abrir</v>
      </c>
      <c r="F167">
        <v>6</v>
      </c>
    </row>
    <row r="168" spans="1:6" x14ac:dyDescent="0.3">
      <c r="A168" t="s">
        <v>304</v>
      </c>
      <c r="B168" t="s">
        <v>17</v>
      </c>
      <c r="C168" s="2" t="str">
        <f>HYPERLINK("https://mundipagg.gupy.io/","Abrir")</f>
        <v>Abrir</v>
      </c>
    </row>
    <row r="169" spans="1:6" x14ac:dyDescent="0.3">
      <c r="A169" t="s">
        <v>305</v>
      </c>
      <c r="D169" t="s">
        <v>17</v>
      </c>
      <c r="E169" s="2" t="str">
        <f>HYPERLINK("https://mutant.inhire.app/vagas","Abrir")</f>
        <v>Abrir</v>
      </c>
      <c r="F169">
        <v>0</v>
      </c>
    </row>
    <row r="170" spans="1:6" x14ac:dyDescent="0.3">
      <c r="A170" t="s">
        <v>306</v>
      </c>
      <c r="D170" t="s">
        <v>17</v>
      </c>
      <c r="E170" s="2" t="str">
        <f>HYPERLINK("https://neogrid.inhire.app/vagas","Abrir")</f>
        <v>Abrir</v>
      </c>
      <c r="F170">
        <v>1</v>
      </c>
    </row>
    <row r="171" spans="1:6" x14ac:dyDescent="0.3">
      <c r="A171" t="s">
        <v>307</v>
      </c>
      <c r="D171" t="s">
        <v>17</v>
      </c>
      <c r="E171" s="2" t="str">
        <f>HYPERLINK("https://neoway.inhire.app/vagas","Abrir")</f>
        <v>Abrir</v>
      </c>
      <c r="F171">
        <v>1</v>
      </c>
    </row>
    <row r="172" spans="1:6" x14ac:dyDescent="0.3">
      <c r="A172" t="s">
        <v>308</v>
      </c>
      <c r="D172" t="s">
        <v>17</v>
      </c>
      <c r="E172" s="2" t="str">
        <f>HYPERLINK("https://nexaas.inhire.app/vagas","Abrir")</f>
        <v>Abrir</v>
      </c>
      <c r="F172">
        <v>2</v>
      </c>
    </row>
    <row r="173" spans="1:6" x14ac:dyDescent="0.3">
      <c r="A173" t="s">
        <v>309</v>
      </c>
      <c r="B173" t="s">
        <v>17</v>
      </c>
      <c r="C173" s="2" t="str">
        <f>HYPERLINK("https://nexxera.gupy.io/","Abrir")</f>
        <v>Abrir</v>
      </c>
    </row>
    <row r="174" spans="1:6" x14ac:dyDescent="0.3">
      <c r="A174" t="s">
        <v>310</v>
      </c>
      <c r="D174" t="s">
        <v>17</v>
      </c>
      <c r="E174" s="2" t="str">
        <f>HYPERLINK("https://nibo.inhire.app/vagas","Abrir")</f>
        <v>Abrir</v>
      </c>
      <c r="F174">
        <v>3</v>
      </c>
    </row>
    <row r="175" spans="1:6" x14ac:dyDescent="0.3">
      <c r="A175" t="s">
        <v>311</v>
      </c>
      <c r="B175" t="s">
        <v>17</v>
      </c>
      <c r="C175" s="2" t="str">
        <f>HYPERLINK("https://nodis.gupy.io/","Abrir")</f>
        <v>Abrir</v>
      </c>
    </row>
    <row r="176" spans="1:6" x14ac:dyDescent="0.3">
      <c r="A176" t="s">
        <v>312</v>
      </c>
      <c r="B176" t="s">
        <v>17</v>
      </c>
      <c r="C176" s="2" t="str">
        <f>HYPERLINK("https://novaescola.gupy.io/","Abrir")</f>
        <v>Abrir</v>
      </c>
      <c r="D176" t="s">
        <v>17</v>
      </c>
      <c r="E176" s="2" t="str">
        <f>HYPERLINK("https://escoladnc.inhire.app/vagas","Abrir")</f>
        <v>Abrir</v>
      </c>
      <c r="F176">
        <v>3</v>
      </c>
    </row>
    <row r="177" spans="1:6" x14ac:dyDescent="0.3">
      <c r="A177" t="s">
        <v>313</v>
      </c>
      <c r="D177" t="s">
        <v>17</v>
      </c>
      <c r="E177" s="2" t="str">
        <f>HYPERLINK("https://nubank.inhire.app/vagas","Abrir")</f>
        <v>Abrir</v>
      </c>
      <c r="F177">
        <v>0</v>
      </c>
    </row>
    <row r="178" spans="1:6" x14ac:dyDescent="0.3">
      <c r="A178" t="s">
        <v>314</v>
      </c>
      <c r="D178" t="s">
        <v>17</v>
      </c>
      <c r="E178" s="2" t="str">
        <f>HYPERLINK("https://nuvemshop-tiendanube.inhire.app/vagas","Abrir")</f>
        <v>Abrir</v>
      </c>
      <c r="F178">
        <v>12</v>
      </c>
    </row>
    <row r="179" spans="1:6" x14ac:dyDescent="0.3">
      <c r="A179" t="s">
        <v>315</v>
      </c>
      <c r="D179" t="s">
        <v>17</v>
      </c>
      <c r="E179" s="2" t="str">
        <f>HYPERLINK("https://objective.inhire.app/vagas","Abrir")</f>
        <v>Abrir</v>
      </c>
      <c r="F179">
        <v>15</v>
      </c>
    </row>
    <row r="180" spans="1:6" x14ac:dyDescent="0.3">
      <c r="A180" t="s">
        <v>316</v>
      </c>
      <c r="D180" t="s">
        <v>17</v>
      </c>
      <c r="E180" s="2" t="str">
        <f>HYPERLINK("https://olist.inhire.app/vagas","Abrir")</f>
        <v>Abrir</v>
      </c>
      <c r="F180">
        <v>16</v>
      </c>
    </row>
    <row r="181" spans="1:6" x14ac:dyDescent="0.3">
      <c r="A181" t="s">
        <v>317</v>
      </c>
      <c r="D181" t="s">
        <v>17</v>
      </c>
      <c r="E181" s="2" t="str">
        <f>HYPERLINK("https://openlabs.inhire.app/vagas","Abrir")</f>
        <v>Abrir</v>
      </c>
      <c r="F181">
        <v>1</v>
      </c>
    </row>
    <row r="182" spans="1:6" x14ac:dyDescent="0.3">
      <c r="A182" t="s">
        <v>318</v>
      </c>
      <c r="B182" t="s">
        <v>17</v>
      </c>
      <c r="C182" s="2" t="str">
        <f>HYPERLINK("https://openlabs.gupy.io/","Abrir")</f>
        <v>Abrir</v>
      </c>
    </row>
    <row r="183" spans="1:6" x14ac:dyDescent="0.3">
      <c r="A183" t="s">
        <v>319</v>
      </c>
      <c r="D183" t="s">
        <v>17</v>
      </c>
      <c r="E183" s="2" t="str">
        <f>HYPERLINK("https://wavin.inhire.app/vagas","Abrir")</f>
        <v>Abrir</v>
      </c>
      <c r="F183">
        <v>64</v>
      </c>
    </row>
    <row r="184" spans="1:6" x14ac:dyDescent="0.3">
      <c r="A184" t="s">
        <v>320</v>
      </c>
      <c r="B184" t="s">
        <v>17</v>
      </c>
      <c r="C184" s="2" t="str">
        <f>HYPERLINK("https://orizon.gupy.io/","Abrir")</f>
        <v>Abrir</v>
      </c>
      <c r="D184" t="s">
        <v>17</v>
      </c>
      <c r="E184" s="2" t="str">
        <f>HYPERLINK("https://orizon.inhire.app/vagas","Abrir")</f>
        <v>Abrir</v>
      </c>
      <c r="F184">
        <v>27</v>
      </c>
    </row>
    <row r="185" spans="1:6" x14ac:dyDescent="0.3">
      <c r="A185" t="s">
        <v>321</v>
      </c>
      <c r="B185" t="s">
        <v>17</v>
      </c>
      <c r="C185" s="2" t="str">
        <f>HYPERLINK("https://padtec.gupy.io/","Abrir")</f>
        <v>Abrir</v>
      </c>
    </row>
    <row r="186" spans="1:6" x14ac:dyDescent="0.3">
      <c r="A186" t="s">
        <v>322</v>
      </c>
      <c r="B186" t="s">
        <v>17</v>
      </c>
      <c r="C186" s="2" t="str">
        <f>HYPERLINK("https://pagarme.gupy.io/","Abrir")</f>
        <v>Abrir</v>
      </c>
    </row>
    <row r="187" spans="1:6" x14ac:dyDescent="0.3">
      <c r="A187" t="s">
        <v>323</v>
      </c>
      <c r="B187" t="s">
        <v>17</v>
      </c>
      <c r="C187" s="2" t="str">
        <f>HYPERLINK("https://pagseguro.gupy.io/","Abrir")</f>
        <v>Abrir</v>
      </c>
    </row>
    <row r="188" spans="1:6" x14ac:dyDescent="0.3">
      <c r="A188" t="s">
        <v>324</v>
      </c>
      <c r="D188" t="s">
        <v>17</v>
      </c>
      <c r="E188" s="2" t="str">
        <f>HYPERLINK("https://paipe.inhire.app/vagas","Abrir")</f>
        <v>Abrir</v>
      </c>
      <c r="F188">
        <v>3</v>
      </c>
    </row>
    <row r="189" spans="1:6" x14ac:dyDescent="0.3">
      <c r="A189" t="s">
        <v>325</v>
      </c>
      <c r="B189" t="s">
        <v>17</v>
      </c>
      <c r="C189" s="2" t="str">
        <f>HYPERLINK("https://passeidireto.gupy.io/","Abrir")</f>
        <v>Abrir</v>
      </c>
    </row>
    <row r="190" spans="1:6" x14ac:dyDescent="0.3">
      <c r="A190" t="s">
        <v>326</v>
      </c>
      <c r="B190" t="s">
        <v>17</v>
      </c>
      <c r="C190" s="2" t="str">
        <f>HYPERLINK("https://phoebus.gupy.io/","Abrir")</f>
        <v>Abrir</v>
      </c>
    </row>
    <row r="191" spans="1:6" x14ac:dyDescent="0.3">
      <c r="A191" t="s">
        <v>327</v>
      </c>
      <c r="D191" t="s">
        <v>17</v>
      </c>
      <c r="E191" s="2" t="str">
        <f>HYPERLINK("https://pitang.inhire.app/vagas","Abrir")</f>
        <v>Abrir</v>
      </c>
      <c r="F191">
        <v>10</v>
      </c>
    </row>
    <row r="192" spans="1:6" x14ac:dyDescent="0.3">
      <c r="A192" t="s">
        <v>328</v>
      </c>
      <c r="B192" t="s">
        <v>17</v>
      </c>
      <c r="C192" s="2" t="str">
        <f>HYPERLINK("https://pitzi.gupy.io/","Abrir")</f>
        <v>Abrir</v>
      </c>
    </row>
    <row r="193" spans="1:6" x14ac:dyDescent="0.3">
      <c r="A193" t="s">
        <v>329</v>
      </c>
      <c r="B193" t="s">
        <v>17</v>
      </c>
      <c r="C193" s="2" t="str">
        <f>HYPERLINK("https://porto.gupy.io/","Abrir")</f>
        <v>Abrir</v>
      </c>
    </row>
    <row r="194" spans="1:6" x14ac:dyDescent="0.3">
      <c r="A194" t="s">
        <v>330</v>
      </c>
      <c r="B194" t="s">
        <v>17</v>
      </c>
      <c r="C194" s="2" t="str">
        <f>HYPERLINK("https://positivo.gupy.io/","Abrir")</f>
        <v>Abrir</v>
      </c>
    </row>
    <row r="195" spans="1:6" x14ac:dyDescent="0.3">
      <c r="A195" t="s">
        <v>331</v>
      </c>
      <c r="D195" t="s">
        <v>17</v>
      </c>
      <c r="E195" s="2" t="str">
        <f>HYPERLINK("https://pravaler.inhire.app/vagas","Abrir")</f>
        <v>Abrir</v>
      </c>
      <c r="F195">
        <v>42</v>
      </c>
    </row>
    <row r="196" spans="1:6" x14ac:dyDescent="0.3">
      <c r="A196" t="s">
        <v>332</v>
      </c>
      <c r="D196" t="s">
        <v>17</v>
      </c>
      <c r="E196" s="2" t="str">
        <f>HYPERLINK("https://radix.inhire.app/vagas","Abrir")</f>
        <v>Abrir</v>
      </c>
      <c r="F196">
        <v>109</v>
      </c>
    </row>
    <row r="197" spans="1:6" x14ac:dyDescent="0.3">
      <c r="A197" t="s">
        <v>333</v>
      </c>
      <c r="D197" t="s">
        <v>17</v>
      </c>
      <c r="E197" s="2" t="str">
        <f>HYPERLINK("https://rarolabs.inhire.app/vagas","Abrir")</f>
        <v>Abrir</v>
      </c>
      <c r="F197">
        <v>3</v>
      </c>
    </row>
    <row r="198" spans="1:6" x14ac:dyDescent="0.3">
      <c r="A198" t="s">
        <v>334</v>
      </c>
      <c r="D198" t="s">
        <v>17</v>
      </c>
      <c r="E198" s="2" t="str">
        <f>HYPERLINK("https://reclameaqui.inhire.app/vagas","Abrir")</f>
        <v>Abrir</v>
      </c>
      <c r="F198">
        <v>28</v>
      </c>
    </row>
    <row r="199" spans="1:6" x14ac:dyDescent="0.3">
      <c r="A199" t="s">
        <v>335</v>
      </c>
      <c r="D199" t="s">
        <v>17</v>
      </c>
      <c r="E199" s="2" t="str">
        <f>HYPERLINK("https://rnp.inhire.app/vagas","Abrir")</f>
        <v>Abrir</v>
      </c>
      <c r="F199">
        <v>0</v>
      </c>
    </row>
    <row r="200" spans="1:6" x14ac:dyDescent="0.3">
      <c r="A200" t="s">
        <v>336</v>
      </c>
      <c r="D200" t="s">
        <v>17</v>
      </c>
      <c r="E200" s="2" t="str">
        <f>HYPERLINK("https://remessaonline.inhire.app/vagas","Abrir")</f>
        <v>Abrir</v>
      </c>
      <c r="F200">
        <v>5</v>
      </c>
    </row>
    <row r="201" spans="1:6" x14ac:dyDescent="0.3">
      <c r="A201" t="s">
        <v>337</v>
      </c>
      <c r="B201" t="s">
        <v>17</v>
      </c>
      <c r="C201" s="2" t="str">
        <f>HYPERLINK("https://repassa.gupy.io/","Abrir")</f>
        <v>Abrir</v>
      </c>
    </row>
    <row r="202" spans="1:6" x14ac:dyDescent="0.3">
      <c r="A202" t="s">
        <v>338</v>
      </c>
      <c r="B202" t="s">
        <v>17</v>
      </c>
      <c r="C202" s="2" t="str">
        <f>HYPERLINK("https://rnp.gupy.io/","Abrir")</f>
        <v>Abrir</v>
      </c>
    </row>
    <row r="203" spans="1:6" x14ac:dyDescent="0.3">
      <c r="A203" t="s">
        <v>339</v>
      </c>
      <c r="B203" t="s">
        <v>17</v>
      </c>
      <c r="C203" s="2" t="str">
        <f>HYPERLINK("https://samsungsds.gupy.io/","Abrir")</f>
        <v>Abrir</v>
      </c>
      <c r="D203" t="s">
        <v>17</v>
      </c>
      <c r="E203" s="2" t="str">
        <f>HYPERLINK("https://samsung.inhire.app/vagas","Abrir")</f>
        <v>Abrir</v>
      </c>
      <c r="F203">
        <v>10</v>
      </c>
    </row>
    <row r="204" spans="1:6" x14ac:dyDescent="0.3">
      <c r="A204" t="s">
        <v>340</v>
      </c>
      <c r="B204" t="s">
        <v>17</v>
      </c>
      <c r="C204" s="2" t="str">
        <f>HYPERLINK("https://sciensa.gupy.io/","Abrir")</f>
        <v>Abrir</v>
      </c>
    </row>
    <row r="205" spans="1:6" x14ac:dyDescent="0.3">
      <c r="A205" t="s">
        <v>341</v>
      </c>
      <c r="D205" t="s">
        <v>17</v>
      </c>
      <c r="E205" s="2" t="str">
        <f>HYPERLINK("https://semantix.inhire.app/vagas","Abrir")</f>
        <v>Abrir</v>
      </c>
      <c r="F205">
        <v>72</v>
      </c>
    </row>
    <row r="206" spans="1:6" x14ac:dyDescent="0.3">
      <c r="A206" t="s">
        <v>342</v>
      </c>
      <c r="B206" t="s">
        <v>17</v>
      </c>
      <c r="C206" s="2" t="str">
        <f>HYPERLINK("https://sidi.gupy.io/","Abrir")</f>
        <v>Abrir</v>
      </c>
    </row>
    <row r="207" spans="1:6" x14ac:dyDescent="0.3">
      <c r="A207" t="s">
        <v>343</v>
      </c>
      <c r="D207" t="s">
        <v>17</v>
      </c>
      <c r="E207" s="2" t="str">
        <f>HYPERLINK("https://sidia.inhire.app/vagas","Abrir")</f>
        <v>Abrir</v>
      </c>
      <c r="F207">
        <v>0</v>
      </c>
    </row>
    <row r="208" spans="1:6" x14ac:dyDescent="0.3">
      <c r="A208" t="s">
        <v>344</v>
      </c>
      <c r="D208" t="s">
        <v>17</v>
      </c>
      <c r="E208" s="2" t="str">
        <f>HYPERLINK("https://skyone.inhire.app/vagas","Abrir")</f>
        <v>Abrir</v>
      </c>
      <c r="F208">
        <v>16</v>
      </c>
    </row>
    <row r="209" spans="1:6" x14ac:dyDescent="0.3">
      <c r="A209" t="s">
        <v>345</v>
      </c>
      <c r="B209" t="s">
        <v>17</v>
      </c>
      <c r="C209" s="2" t="str">
        <f>HYPERLINK("https://smart.gupy.io/","Abrir")</f>
        <v>Abrir</v>
      </c>
      <c r="D209" t="s">
        <v>17</v>
      </c>
      <c r="E209" s="2" t="str">
        <f>HYPERLINK("https://fitenergia.inhire.app/vagas","Abrir")</f>
        <v>Abrir</v>
      </c>
      <c r="F209">
        <v>13</v>
      </c>
    </row>
    <row r="210" spans="1:6" x14ac:dyDescent="0.3">
      <c r="A210" t="s">
        <v>346</v>
      </c>
      <c r="B210" t="s">
        <v>17</v>
      </c>
      <c r="C210" s="2" t="str">
        <f>HYPERLINK("https://softplan.gupy.io/","Abrir")</f>
        <v>Abrir</v>
      </c>
    </row>
    <row r="211" spans="1:6" x14ac:dyDescent="0.3">
      <c r="A211" t="s">
        <v>347</v>
      </c>
      <c r="D211" t="s">
        <v>17</v>
      </c>
      <c r="E211" s="2" t="str">
        <f>HYPERLINK("https://solutis.inhire.app/vagas","Abrir")</f>
        <v>Abrir</v>
      </c>
      <c r="F211">
        <v>16</v>
      </c>
    </row>
    <row r="212" spans="1:6" x14ac:dyDescent="0.3">
      <c r="A212" t="s">
        <v>348</v>
      </c>
      <c r="B212" t="s">
        <v>17</v>
      </c>
      <c r="C212" s="2" t="str">
        <f>HYPERLINK("https://spread.gupy.io/","Abrir")</f>
        <v>Abrir</v>
      </c>
    </row>
    <row r="213" spans="1:6" x14ac:dyDescent="0.3">
      <c r="A213" t="s">
        <v>349</v>
      </c>
      <c r="B213" t="s">
        <v>17</v>
      </c>
      <c r="C213" s="2" t="str">
        <f>HYPERLINK("https://stefanini.gupy.io/","Abrir")</f>
        <v>Abrir</v>
      </c>
    </row>
    <row r="214" spans="1:6" x14ac:dyDescent="0.3">
      <c r="A214" t="s">
        <v>350</v>
      </c>
      <c r="B214" t="s">
        <v>17</v>
      </c>
      <c r="C214" s="2" t="str">
        <f>HYPERLINK("https://stone.gupy.io/","Abrir")</f>
        <v>Abrir</v>
      </c>
      <c r="D214" t="s">
        <v>17</v>
      </c>
      <c r="E214" s="2" t="str">
        <f>HYPERLINK("https://stone.inhire.app/vagas","Abrir")</f>
        <v>Abrir</v>
      </c>
      <c r="F214">
        <v>0</v>
      </c>
    </row>
    <row r="215" spans="1:6" x14ac:dyDescent="0.3">
      <c r="A215" t="s">
        <v>351</v>
      </c>
      <c r="D215" t="s">
        <v>17</v>
      </c>
      <c r="E215" s="2" t="str">
        <f>HYPERLINK("https://superlogica.inhire.app/vagas","Abrir")</f>
        <v>Abrir</v>
      </c>
      <c r="F215">
        <v>21</v>
      </c>
    </row>
    <row r="216" spans="1:6" x14ac:dyDescent="0.3">
      <c r="A216" t="s">
        <v>352</v>
      </c>
      <c r="D216" t="s">
        <v>17</v>
      </c>
      <c r="E216" s="2" t="str">
        <f>HYPERLINK("https://grupotaking.inhire.app/vagas","Abrir")</f>
        <v>Abrir</v>
      </c>
      <c r="F216">
        <v>0</v>
      </c>
    </row>
    <row r="217" spans="1:6" x14ac:dyDescent="0.3">
      <c r="A217" t="s">
        <v>353</v>
      </c>
      <c r="B217" t="s">
        <v>17</v>
      </c>
      <c r="C217" s="2" t="str">
        <f>HYPERLINK("https://targetsistemas.gupy.io/","Abrir")</f>
        <v>Abrir</v>
      </c>
    </row>
    <row r="218" spans="1:6" x14ac:dyDescent="0.3">
      <c r="A218" t="s">
        <v>354</v>
      </c>
      <c r="B218" t="s">
        <v>17</v>
      </c>
      <c r="C218" s="2" t="str">
        <f>HYPERLINK("https://tecban.gupy.io/","Abrir")</f>
        <v>Abrir</v>
      </c>
    </row>
    <row r="219" spans="1:6" x14ac:dyDescent="0.3">
      <c r="A219" t="s">
        <v>355</v>
      </c>
      <c r="D219" t="s">
        <v>17</v>
      </c>
      <c r="E219" s="2" t="str">
        <f>HYPERLINK("https://techlead.inhire.app/vagas","Abrir")</f>
        <v>Abrir</v>
      </c>
      <c r="F219">
        <v>3</v>
      </c>
    </row>
    <row r="220" spans="1:6" x14ac:dyDescent="0.3">
      <c r="A220" t="s">
        <v>356</v>
      </c>
      <c r="B220" t="s">
        <v>17</v>
      </c>
      <c r="C220" s="2" t="str">
        <f>HYPERLINK("https://telemont.gupy.io/","Abrir")</f>
        <v>Abrir</v>
      </c>
    </row>
    <row r="221" spans="1:6" x14ac:dyDescent="0.3">
      <c r="A221" t="s">
        <v>357</v>
      </c>
      <c r="D221" t="s">
        <v>17</v>
      </c>
      <c r="E221" s="2" t="str">
        <f>HYPERLINK("https://tembici.inhire.app/vagas","Abrir")</f>
        <v>Abrir</v>
      </c>
      <c r="F221">
        <v>0</v>
      </c>
    </row>
    <row r="222" spans="1:6" x14ac:dyDescent="0.3">
      <c r="A222" t="s">
        <v>358</v>
      </c>
      <c r="D222" t="s">
        <v>17</v>
      </c>
      <c r="E222" s="2" t="str">
        <f>HYPERLINK("https://tempest.inhire.app/vagas","Abrir")</f>
        <v>Abrir</v>
      </c>
      <c r="F222">
        <v>8</v>
      </c>
    </row>
    <row r="223" spans="1:6" x14ac:dyDescent="0.3">
      <c r="A223" t="s">
        <v>359</v>
      </c>
      <c r="B223" t="s">
        <v>17</v>
      </c>
      <c r="C223" s="2" t="str">
        <f>HYPERLINK("https://tempo.gupy.io/","Abrir")</f>
        <v>Abrir</v>
      </c>
    </row>
    <row r="224" spans="1:6" x14ac:dyDescent="0.3">
      <c r="A224" t="s">
        <v>360</v>
      </c>
      <c r="D224" t="s">
        <v>17</v>
      </c>
      <c r="E224" s="2" t="str">
        <f>HYPERLINK("https://tinnova.inhire.app/vagas","Abrir")</f>
        <v>Abrir</v>
      </c>
      <c r="F224">
        <v>5</v>
      </c>
    </row>
    <row r="225" spans="1:6" x14ac:dyDescent="0.3">
      <c r="A225" t="s">
        <v>361</v>
      </c>
      <c r="B225" t="s">
        <v>17</v>
      </c>
      <c r="C225" s="2" t="str">
        <f>HYPERLINK("https://tokiomarine.gupy.io/","Abrir")</f>
        <v>Abrir</v>
      </c>
    </row>
    <row r="226" spans="1:6" x14ac:dyDescent="0.3">
      <c r="A226" t="s">
        <v>362</v>
      </c>
      <c r="D226" t="s">
        <v>17</v>
      </c>
      <c r="E226" s="2" t="str">
        <f>HYPERLINK("https://totvs.inhire.app/vagas","Abrir")</f>
        <v>Abrir</v>
      </c>
      <c r="F226">
        <v>0</v>
      </c>
    </row>
    <row r="227" spans="1:6" x14ac:dyDescent="0.3">
      <c r="A227" t="s">
        <v>363</v>
      </c>
      <c r="D227" t="s">
        <v>17</v>
      </c>
      <c r="E227" s="2" t="str">
        <f>HYPERLINK("https://bancotoyota.inhire.app/vagas","Abrir")</f>
        <v>Abrir</v>
      </c>
      <c r="F227">
        <v>11</v>
      </c>
    </row>
    <row r="228" spans="1:6" x14ac:dyDescent="0.3">
      <c r="A228" t="s">
        <v>364</v>
      </c>
      <c r="D228" t="s">
        <v>17</v>
      </c>
      <c r="E228" s="2" t="str">
        <f>HYPERLINK("https://tqi.inhire.app/vagas","Abrir")</f>
        <v>Abrir</v>
      </c>
      <c r="F228">
        <v>19</v>
      </c>
    </row>
    <row r="229" spans="1:6" x14ac:dyDescent="0.3">
      <c r="A229" t="s">
        <v>365</v>
      </c>
      <c r="D229" t="s">
        <v>17</v>
      </c>
      <c r="E229" s="2" t="str">
        <f>HYPERLINK("https://tray.inhire.app/vagas","Abrir")</f>
        <v>Abrir</v>
      </c>
      <c r="F229">
        <v>0</v>
      </c>
    </row>
    <row r="230" spans="1:6" x14ac:dyDescent="0.3">
      <c r="A230" t="s">
        <v>366</v>
      </c>
      <c r="D230" t="s">
        <v>17</v>
      </c>
      <c r="E230" s="2" t="str">
        <f>HYPERLINK("https://trinca.inhire.app/vagas","Abrir")</f>
        <v>Abrir</v>
      </c>
      <c r="F230">
        <v>2</v>
      </c>
    </row>
    <row r="231" spans="1:6" x14ac:dyDescent="0.3">
      <c r="A231" t="s">
        <v>367</v>
      </c>
      <c r="B231" t="s">
        <v>17</v>
      </c>
      <c r="C231" s="2" t="str">
        <f>HYPERLINK("https://truckpad.gupy.io/","Abrir")</f>
        <v>Abrir</v>
      </c>
    </row>
    <row r="232" spans="1:6" x14ac:dyDescent="0.3">
      <c r="A232" t="s">
        <v>368</v>
      </c>
      <c r="D232" t="s">
        <v>17</v>
      </c>
      <c r="E232" s="2" t="str">
        <f>HYPERLINK("https://turbi.inhire.app/vagas","Abrir")</f>
        <v>Abrir</v>
      </c>
      <c r="F232">
        <v>23</v>
      </c>
    </row>
    <row r="233" spans="1:6" x14ac:dyDescent="0.3">
      <c r="A233" t="s">
        <v>369</v>
      </c>
      <c r="B233" t="s">
        <v>17</v>
      </c>
      <c r="C233" s="2" t="str">
        <f>HYPERLINK("https://uello.gupy.io/","Abrir")</f>
        <v>Abrir</v>
      </c>
      <c r="D233" t="s">
        <v>17</v>
      </c>
      <c r="E233" s="2" t="str">
        <f>HYPERLINK("https://hh-uello.inhire.app/vagas","Abrir")</f>
        <v>Abrir</v>
      </c>
      <c r="F233">
        <v>3</v>
      </c>
    </row>
    <row r="234" spans="1:6" x14ac:dyDescent="0.3">
      <c r="A234" t="s">
        <v>370</v>
      </c>
      <c r="D234" t="s">
        <v>17</v>
      </c>
      <c r="E234" s="2" t="str">
        <f>HYPERLINK("https://unico.inhire.app/vagas","Abrir")</f>
        <v>Abrir</v>
      </c>
      <c r="F234">
        <v>9</v>
      </c>
    </row>
    <row r="235" spans="1:6" x14ac:dyDescent="0.3">
      <c r="A235" t="s">
        <v>371</v>
      </c>
      <c r="B235" t="s">
        <v>17</v>
      </c>
      <c r="C235" s="2" t="str">
        <f>HYPERLINK("https://uol.gupy.io/","Abrir")</f>
        <v>Abrir</v>
      </c>
    </row>
    <row r="236" spans="1:6" x14ac:dyDescent="0.3">
      <c r="A236" t="s">
        <v>372</v>
      </c>
      <c r="B236" t="s">
        <v>17</v>
      </c>
      <c r="C236" s="2" t="str">
        <f>HYPERLINK("https://uol.gupy.io/","Abrir")</f>
        <v>Abrir</v>
      </c>
    </row>
    <row r="237" spans="1:6" x14ac:dyDescent="0.3">
      <c r="A237" t="s">
        <v>373</v>
      </c>
      <c r="D237" t="s">
        <v>17</v>
      </c>
      <c r="E237" s="2" t="str">
        <f>HYPERLINK("https://vagasconfidenciais2.inhire.app/vagas","Abrir")</f>
        <v>Abrir</v>
      </c>
      <c r="F237">
        <v>1</v>
      </c>
    </row>
    <row r="238" spans="1:6" x14ac:dyDescent="0.3">
      <c r="A238" t="s">
        <v>374</v>
      </c>
      <c r="D238" t="s">
        <v>17</v>
      </c>
      <c r="E238" s="2" t="str">
        <f>HYPERLINK("https://venturus.inhire.app/vagas","Abrir")</f>
        <v>Abrir</v>
      </c>
      <c r="F238">
        <v>25</v>
      </c>
    </row>
    <row r="239" spans="1:6" x14ac:dyDescent="0.3">
      <c r="A239" t="s">
        <v>375</v>
      </c>
      <c r="B239" t="s">
        <v>17</v>
      </c>
      <c r="C239" s="2" t="str">
        <f>HYPERLINK("https://vertem.gupy.io/","Abrir")</f>
        <v>Abrir</v>
      </c>
    </row>
    <row r="240" spans="1:6" x14ac:dyDescent="0.3">
      <c r="A240" t="s">
        <v>376</v>
      </c>
      <c r="D240" t="s">
        <v>17</v>
      </c>
      <c r="E240" s="2" t="str">
        <f>HYPERLINK("https://vhsys.inhire.app/vagas","Abrir")</f>
        <v>Abrir</v>
      </c>
      <c r="F240">
        <v>10</v>
      </c>
    </row>
    <row r="241" spans="1:6" x14ac:dyDescent="0.3">
      <c r="A241" t="s">
        <v>377</v>
      </c>
      <c r="B241" t="s">
        <v>17</v>
      </c>
      <c r="C241" s="2" t="str">
        <f>HYPERLINK("https://viasoft.gupy.io/","Abrir")</f>
        <v>Abrir</v>
      </c>
    </row>
    <row r="242" spans="1:6" x14ac:dyDescent="0.3">
      <c r="A242" t="s">
        <v>378</v>
      </c>
      <c r="B242" t="s">
        <v>17</v>
      </c>
      <c r="C242" s="2" t="str">
        <f>HYPERLINK("https://vivo.gupy.io/","Abrir")</f>
        <v>Abrir</v>
      </c>
      <c r="D242" t="s">
        <v>17</v>
      </c>
      <c r="E242" s="2" t="str">
        <f>HYPERLINK("https://vivopcd.inhire.app/vagas","Abrir")</f>
        <v>Abrir</v>
      </c>
      <c r="F242">
        <v>0</v>
      </c>
    </row>
    <row r="243" spans="1:6" x14ac:dyDescent="0.3">
      <c r="A243" t="s">
        <v>379</v>
      </c>
      <c r="D243" t="s">
        <v>17</v>
      </c>
      <c r="E243" s="2" t="str">
        <f>HYPERLINK("https://warren.inhire.app/vagas","Abrir")</f>
        <v>Abrir</v>
      </c>
      <c r="F243">
        <v>3</v>
      </c>
    </row>
    <row r="244" spans="1:6" x14ac:dyDescent="0.3">
      <c r="A244" t="s">
        <v>380</v>
      </c>
      <c r="B244" t="s">
        <v>17</v>
      </c>
      <c r="C244" s="2" t="str">
        <f>HYPERLINK("https://webjump.gupy.io/","Abrir")</f>
        <v>Abrir</v>
      </c>
    </row>
    <row r="245" spans="1:6" x14ac:dyDescent="0.3">
      <c r="A245" t="s">
        <v>381</v>
      </c>
      <c r="B245" t="s">
        <v>17</v>
      </c>
      <c r="C245" s="2" t="str">
        <f>HYPERLINK("https://webmotors.gupy.io/","Abrir")</f>
        <v>Abrir</v>
      </c>
    </row>
    <row r="246" spans="1:6" x14ac:dyDescent="0.3">
      <c r="A246" t="s">
        <v>382</v>
      </c>
      <c r="D246" t="s">
        <v>17</v>
      </c>
      <c r="E246" s="2" t="str">
        <f>HYPERLINK("https://winnin.inhire.app/vagas","Abrir")</f>
        <v>Abrir</v>
      </c>
      <c r="F246">
        <v>5</v>
      </c>
    </row>
    <row r="247" spans="1:6" x14ac:dyDescent="0.3">
      <c r="A247" t="s">
        <v>383</v>
      </c>
      <c r="B247" t="s">
        <v>17</v>
      </c>
      <c r="C247" s="2" t="str">
        <f>HYPERLINK("https://wiz.gupy.io/","Abrir")</f>
        <v>Abrir</v>
      </c>
    </row>
    <row r="248" spans="1:6" x14ac:dyDescent="0.3">
      <c r="A248" t="s">
        <v>384</v>
      </c>
      <c r="D248" t="s">
        <v>17</v>
      </c>
      <c r="E248" s="2" t="str">
        <f>HYPERLINK("https://toroinvestimentos.inhire.app/vagas","Abrir")</f>
        <v>Abrir</v>
      </c>
      <c r="F248">
        <v>1</v>
      </c>
    </row>
    <row r="249" spans="1:6" x14ac:dyDescent="0.3">
      <c r="A249" t="s">
        <v>385</v>
      </c>
      <c r="B249" t="s">
        <v>17</v>
      </c>
      <c r="C249" s="2" t="str">
        <f>HYPERLINK("https://ztech.gupy.io/","Abrir")</f>
        <v>Abrir</v>
      </c>
    </row>
    <row r="250" spans="1:6" x14ac:dyDescent="0.3">
      <c r="A250" t="s">
        <v>386</v>
      </c>
      <c r="B250" t="s">
        <v>17</v>
      </c>
      <c r="C250" s="2" t="str">
        <f>HYPERLINK("https://zeedog.gupy.io/","Abrir")</f>
        <v>Abrir</v>
      </c>
    </row>
    <row r="251" spans="1:6" x14ac:dyDescent="0.3">
      <c r="A251" t="s">
        <v>387</v>
      </c>
      <c r="D251" t="s">
        <v>17</v>
      </c>
      <c r="E251" s="2" t="str">
        <f>HYPERLINK("https://zup.inhire.app/vagas","Abrir")</f>
        <v>Abrir</v>
      </c>
      <c r="F251">
        <v>0</v>
      </c>
    </row>
  </sheetData>
  <autoFilter ref="A1:F251" xr:uid="{A9D9CBEC-74A4-4930-A659-D7BD4FFB362E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884C5-EE35-4997-88D0-31E7A24B608D}">
  <dimension ref="A1:C300"/>
  <sheetViews>
    <sheetView workbookViewId="0">
      <pane ySplit="1" topLeftCell="A2" activePane="bottomLeft" state="frozenSplit"/>
      <selection pane="bottomLeft"/>
    </sheetView>
  </sheetViews>
  <sheetFormatPr defaultRowHeight="14.4" x14ac:dyDescent="0.3"/>
  <cols>
    <col min="1" max="1" width="38.77734375" customWidth="1"/>
    <col min="2" max="2" width="20.77734375" customWidth="1"/>
    <col min="3" max="3" width="46.77734375" customWidth="1"/>
  </cols>
  <sheetData>
    <row r="1" spans="1:3" ht="25.95" customHeight="1" x14ac:dyDescent="0.3">
      <c r="A1" s="3" t="s">
        <v>1</v>
      </c>
      <c r="B1" s="3" t="s">
        <v>388</v>
      </c>
      <c r="C1" s="3" t="s">
        <v>389</v>
      </c>
    </row>
    <row r="2" spans="1:3" x14ac:dyDescent="0.3">
      <c r="A2" t="s">
        <v>390</v>
      </c>
      <c r="B2">
        <v>971</v>
      </c>
      <c r="C2" s="2" t="str">
        <f>HYPERLINK("https://v4company.inhire.app/vagas","Abrir")</f>
        <v>Abrir</v>
      </c>
    </row>
    <row r="3" spans="1:3" x14ac:dyDescent="0.3">
      <c r="A3" t="s">
        <v>391</v>
      </c>
      <c r="B3">
        <v>356</v>
      </c>
      <c r="C3" s="2" t="str">
        <f>HYPERLINK("https://vitru.inhire.app/vagas","Abrir")</f>
        <v>Abrir</v>
      </c>
    </row>
    <row r="4" spans="1:3" x14ac:dyDescent="0.3">
      <c r="A4" t="s">
        <v>392</v>
      </c>
      <c r="B4">
        <v>272</v>
      </c>
      <c r="C4" s="2" t="str">
        <f>HYPERLINK("https://grupocomolatti.inhire.app/vagas","Abrir")</f>
        <v>Abrir</v>
      </c>
    </row>
    <row r="5" spans="1:3" x14ac:dyDescent="0.3">
      <c r="A5" t="s">
        <v>393</v>
      </c>
      <c r="B5">
        <v>267</v>
      </c>
      <c r="C5" s="2" t="str">
        <f>HYPERLINK("https://priner.inhire.app/vagas","Abrir")</f>
        <v>Abrir</v>
      </c>
    </row>
    <row r="6" spans="1:3" x14ac:dyDescent="0.3">
      <c r="A6" t="s">
        <v>394</v>
      </c>
      <c r="B6">
        <v>246</v>
      </c>
      <c r="C6" s="2" t="str">
        <f>HYPERLINK("https://demo.inhire.app/vagas","Abrir")</f>
        <v>Abrir</v>
      </c>
    </row>
    <row r="7" spans="1:3" x14ac:dyDescent="0.3">
      <c r="A7" t="s">
        <v>395</v>
      </c>
      <c r="B7">
        <v>229</v>
      </c>
      <c r="C7" s="2" t="str">
        <f>HYPERLINK("https://deloitte.inhire.app/vagas","Abrir")</f>
        <v>Abrir</v>
      </c>
    </row>
    <row r="8" spans="1:3" x14ac:dyDescent="0.3">
      <c r="A8" t="s">
        <v>396</v>
      </c>
      <c r="B8">
        <v>208</v>
      </c>
      <c r="C8" s="2" t="str">
        <f>HYPERLINK("https://tela.inhire.app/vagas","Abrir")</f>
        <v>Abrir</v>
      </c>
    </row>
    <row r="9" spans="1:3" x14ac:dyDescent="0.3">
      <c r="A9" t="s">
        <v>397</v>
      </c>
      <c r="B9">
        <v>205</v>
      </c>
      <c r="C9" s="2" t="str">
        <f>HYPERLINK("https://grupoprotege.inhire.app/vagas","Abrir")</f>
        <v>Abrir</v>
      </c>
    </row>
    <row r="10" spans="1:3" x14ac:dyDescent="0.3">
      <c r="A10" t="s">
        <v>398</v>
      </c>
      <c r="B10">
        <v>193</v>
      </c>
      <c r="C10" s="2" t="str">
        <f>HYPERLINK("https://essencialnutricao.inhire.app/vagas","Abrir")</f>
        <v>Abrir</v>
      </c>
    </row>
    <row r="11" spans="1:3" x14ac:dyDescent="0.3">
      <c r="A11" t="s">
        <v>399</v>
      </c>
      <c r="B11">
        <v>180</v>
      </c>
      <c r="C11" s="2" t="str">
        <f>HYPERLINK("https://grupolider.inhire.app/vagas","Abrir")</f>
        <v>Abrir</v>
      </c>
    </row>
    <row r="12" spans="1:3" x14ac:dyDescent="0.3">
      <c r="A12" t="s">
        <v>400</v>
      </c>
      <c r="B12">
        <v>107</v>
      </c>
      <c r="C12" s="2" t="str">
        <f>HYPERLINK("https://pantheon.inhire.app/vagas","Abrir")</f>
        <v>Abrir</v>
      </c>
    </row>
    <row r="13" spans="1:3" x14ac:dyDescent="0.3">
      <c r="A13" t="s">
        <v>401</v>
      </c>
      <c r="B13">
        <v>89</v>
      </c>
      <c r="C13" s="2" t="str">
        <f>HYPERLINK("https://hiltonbrasil.inhire.app/vagas","Abrir")</f>
        <v>Abrir</v>
      </c>
    </row>
    <row r="14" spans="1:3" x14ac:dyDescent="0.3">
      <c r="A14" t="s">
        <v>402</v>
      </c>
      <c r="B14">
        <v>66</v>
      </c>
      <c r="C14" s="2" t="str">
        <f>HYPERLINK("https://infotecbrasil.inhire.app/vagas","Abrir")</f>
        <v>Abrir</v>
      </c>
    </row>
    <row r="15" spans="1:3" x14ac:dyDescent="0.3">
      <c r="A15" t="s">
        <v>403</v>
      </c>
      <c r="B15">
        <v>66</v>
      </c>
      <c r="C15" s="2" t="str">
        <f>HYPERLINK("https://ninecon.inhire.app/vagas","Abrir")</f>
        <v>Abrir</v>
      </c>
    </row>
    <row r="16" spans="1:3" x14ac:dyDescent="0.3">
      <c r="A16" t="s">
        <v>404</v>
      </c>
      <c r="B16">
        <v>65</v>
      </c>
      <c r="C16" s="2" t="str">
        <f>HYPERLINK("https://iconit.inhire.app/vagas","Abrir")</f>
        <v>Abrir</v>
      </c>
    </row>
    <row r="17" spans="1:3" x14ac:dyDescent="0.3">
      <c r="A17" t="s">
        <v>405</v>
      </c>
      <c r="B17">
        <v>65</v>
      </c>
      <c r="C17" s="2" t="str">
        <f>HYPERLINK("https://mottu.inhire.app/vagas","Abrir")</f>
        <v>Abrir</v>
      </c>
    </row>
    <row r="18" spans="1:3" x14ac:dyDescent="0.3">
      <c r="A18" t="s">
        <v>406</v>
      </c>
      <c r="B18">
        <v>60</v>
      </c>
      <c r="C18" s="2" t="str">
        <f>HYPERLINK("https://gogroup.inhire.app/vagas","Abrir")</f>
        <v>Abrir</v>
      </c>
    </row>
    <row r="19" spans="1:3" x14ac:dyDescent="0.3">
      <c r="A19" t="s">
        <v>407</v>
      </c>
      <c r="B19">
        <v>52</v>
      </c>
      <c r="C19" s="2" t="str">
        <f>HYPERLINK("https://viseu.inhire.app/vagas","Abrir")</f>
        <v>Abrir</v>
      </c>
    </row>
    <row r="20" spans="1:3" x14ac:dyDescent="0.3">
      <c r="A20" t="s">
        <v>408</v>
      </c>
      <c r="B20">
        <v>51</v>
      </c>
      <c r="C20" s="2" t="str">
        <f>HYPERLINK("https://clam.inhire.app/vagas","Abrir")</f>
        <v>Abrir</v>
      </c>
    </row>
    <row r="21" spans="1:3" x14ac:dyDescent="0.3">
      <c r="A21" t="s">
        <v>409</v>
      </c>
      <c r="B21">
        <v>47</v>
      </c>
      <c r="C21" s="2" t="str">
        <f>HYPERLINK("https://insiderstore.inhire.app/vagas","Abrir")</f>
        <v>Abrir</v>
      </c>
    </row>
    <row r="22" spans="1:3" x14ac:dyDescent="0.3">
      <c r="A22" t="s">
        <v>410</v>
      </c>
      <c r="B22">
        <v>46</v>
      </c>
      <c r="C22" s="2" t="str">
        <f>HYPERLINK("https://agrosearch.inhire.app/vagas","Abrir")</f>
        <v>Abrir</v>
      </c>
    </row>
    <row r="23" spans="1:3" x14ac:dyDescent="0.3">
      <c r="A23" t="s">
        <v>411</v>
      </c>
      <c r="B23">
        <v>46</v>
      </c>
      <c r="C23" s="2" t="str">
        <f>HYPERLINK("https://vocedm.inhire.app/vagas","Abrir")</f>
        <v>Abrir</v>
      </c>
    </row>
    <row r="24" spans="1:3" x14ac:dyDescent="0.3">
      <c r="A24" t="s">
        <v>412</v>
      </c>
      <c r="B24">
        <v>45</v>
      </c>
      <c r="C24" s="2" t="str">
        <f>HYPERLINK("https://pedraagroindustrial.inhire.app/vagas","Abrir")</f>
        <v>Abrir</v>
      </c>
    </row>
    <row r="25" spans="1:3" x14ac:dyDescent="0.3">
      <c r="A25" t="s">
        <v>413</v>
      </c>
      <c r="B25">
        <v>43</v>
      </c>
      <c r="C25" s="2" t="str">
        <f>HYPERLINK("https://sympla.inhire.app/vagas","Abrir")</f>
        <v>Abrir</v>
      </c>
    </row>
    <row r="26" spans="1:3" x14ac:dyDescent="0.3">
      <c r="A26" t="s">
        <v>414</v>
      </c>
      <c r="B26">
        <v>41</v>
      </c>
      <c r="C26" s="2" t="str">
        <f>HYPERLINK("https://zerezes.inhire.app/vagas","Abrir")</f>
        <v>Abrir</v>
      </c>
    </row>
    <row r="27" spans="1:3" x14ac:dyDescent="0.3">
      <c r="A27" t="s">
        <v>415</v>
      </c>
      <c r="B27">
        <v>39</v>
      </c>
      <c r="C27" s="2" t="str">
        <f>HYPERLINK("https://brivia.inhire.app/vagas","Abrir")</f>
        <v>Abrir</v>
      </c>
    </row>
    <row r="28" spans="1:3" x14ac:dyDescent="0.3">
      <c r="A28" t="s">
        <v>416</v>
      </c>
      <c r="B28">
        <v>39</v>
      </c>
      <c r="C28" s="2" t="str">
        <f>HYPERLINK("https://frameworkdigital.inhire.app/vagas","Abrir")</f>
        <v>Abrir</v>
      </c>
    </row>
    <row r="29" spans="1:3" x14ac:dyDescent="0.3">
      <c r="A29" t="s">
        <v>417</v>
      </c>
      <c r="B29">
        <v>37</v>
      </c>
      <c r="C29" s="2" t="str">
        <f>HYPERLINK("https://premiersoft.inhire.app/vagas","Abrir")</f>
        <v>Abrir</v>
      </c>
    </row>
    <row r="30" spans="1:3" x14ac:dyDescent="0.3">
      <c r="A30" t="s">
        <v>418</v>
      </c>
      <c r="B30">
        <v>36</v>
      </c>
      <c r="C30" s="2" t="str">
        <f>HYPERLINK("https://duxcompany.inhire.app/vagas","Abrir")</f>
        <v>Abrir</v>
      </c>
    </row>
    <row r="31" spans="1:3" x14ac:dyDescent="0.3">
      <c r="A31" t="s">
        <v>419</v>
      </c>
      <c r="B31">
        <v>36</v>
      </c>
      <c r="C31" s="2" t="str">
        <f>HYPERLINK("https://westwing.inhire.app/vagas","Abrir")</f>
        <v>Abrir</v>
      </c>
    </row>
    <row r="32" spans="1:3" x14ac:dyDescent="0.3">
      <c r="A32" t="s">
        <v>420</v>
      </c>
      <c r="B32">
        <v>35</v>
      </c>
      <c r="C32" s="2" t="str">
        <f>HYPERLINK("https://asa.inhire.app/vagas","Abrir")</f>
        <v>Abrir</v>
      </c>
    </row>
    <row r="33" spans="1:3" x14ac:dyDescent="0.3">
      <c r="A33" t="s">
        <v>421</v>
      </c>
      <c r="B33">
        <v>35</v>
      </c>
      <c r="C33" s="2" t="str">
        <f>HYPERLINK("https://mena.inhire.app/vagas","Abrir")</f>
        <v>Abrir</v>
      </c>
    </row>
    <row r="34" spans="1:3" x14ac:dyDescent="0.3">
      <c r="A34" t="s">
        <v>422</v>
      </c>
      <c r="B34">
        <v>34</v>
      </c>
      <c r="C34" s="2" t="str">
        <f>HYPERLINK("https://poliedroeducacao.inhire.app/vagas","Abrir")</f>
        <v>Abrir</v>
      </c>
    </row>
    <row r="35" spans="1:3" x14ac:dyDescent="0.3">
      <c r="A35" t="s">
        <v>423</v>
      </c>
      <c r="B35">
        <v>34</v>
      </c>
      <c r="C35" s="2" t="str">
        <f>HYPERLINK("https://queroeducacao.inhire.app/vagas","Abrir")</f>
        <v>Abrir</v>
      </c>
    </row>
    <row r="36" spans="1:3" x14ac:dyDescent="0.3">
      <c r="A36" t="s">
        <v>424</v>
      </c>
      <c r="B36">
        <v>32</v>
      </c>
      <c r="C36" s="2" t="str">
        <f>HYPERLINK("https://bequestdigital.inhire.app/vagas","Abrir")</f>
        <v>Abrir</v>
      </c>
    </row>
    <row r="37" spans="1:3" x14ac:dyDescent="0.3">
      <c r="A37" t="s">
        <v>425</v>
      </c>
      <c r="B37">
        <v>32</v>
      </c>
      <c r="C37" s="2" t="str">
        <f>HYPERLINK("https://eqi.inhire.app/vagas","Abrir")</f>
        <v>Abrir</v>
      </c>
    </row>
    <row r="38" spans="1:3" x14ac:dyDescent="0.3">
      <c r="A38" t="s">
        <v>426</v>
      </c>
      <c r="B38">
        <v>32</v>
      </c>
      <c r="C38" s="2" t="str">
        <f>HYPERLINK("https://qitech.inhire.app/vagas","Abrir")</f>
        <v>Abrir</v>
      </c>
    </row>
    <row r="39" spans="1:3" x14ac:dyDescent="0.3">
      <c r="A39" t="s">
        <v>427</v>
      </c>
      <c r="B39">
        <v>31</v>
      </c>
      <c r="C39" s="2" t="str">
        <f>HYPERLINK("https://asper.inhire.app/vagas","Abrir")</f>
        <v>Abrir</v>
      </c>
    </row>
    <row r="40" spans="1:3" x14ac:dyDescent="0.3">
      <c r="A40" t="s">
        <v>428</v>
      </c>
      <c r="B40">
        <v>31</v>
      </c>
      <c r="C40" s="2" t="str">
        <f>HYPERLINK("https://grupoagcapital.inhire.app/vagas","Abrir")</f>
        <v>Abrir</v>
      </c>
    </row>
    <row r="41" spans="1:3" x14ac:dyDescent="0.3">
      <c r="A41" t="s">
        <v>429</v>
      </c>
      <c r="B41">
        <v>31</v>
      </c>
      <c r="C41" s="2" t="str">
        <f>HYPERLINK("https://lyncas.inhire.app/vagas","Abrir")</f>
        <v>Abrir</v>
      </c>
    </row>
    <row r="42" spans="1:3" x14ac:dyDescent="0.3">
      <c r="A42" t="s">
        <v>135</v>
      </c>
      <c r="B42">
        <v>30</v>
      </c>
      <c r="C42" s="2" t="str">
        <f>HYPERLINK("https://nomadglobal.inhire.app/vagas","Abrir")</f>
        <v>Abrir</v>
      </c>
    </row>
    <row r="43" spans="1:3" x14ac:dyDescent="0.3">
      <c r="A43" t="s">
        <v>430</v>
      </c>
      <c r="B43">
        <v>30</v>
      </c>
      <c r="C43" s="2" t="str">
        <f>HYPERLINK("https://oliveiraeantunes.inhire.app/vagas","Abrir")</f>
        <v>Abrir</v>
      </c>
    </row>
    <row r="44" spans="1:3" x14ac:dyDescent="0.3">
      <c r="A44" t="s">
        <v>431</v>
      </c>
      <c r="B44">
        <v>29</v>
      </c>
      <c r="C44" s="2" t="str">
        <f>HYPERLINK("https://fiberhome.inhire.app/vagas","Abrir")</f>
        <v>Abrir</v>
      </c>
    </row>
    <row r="45" spans="1:3" x14ac:dyDescent="0.3">
      <c r="A45" t="s">
        <v>432</v>
      </c>
      <c r="B45">
        <v>29</v>
      </c>
      <c r="C45" s="2" t="str">
        <f>HYPERLINK("https://grupolos.inhire.app/vagas","Abrir")</f>
        <v>Abrir</v>
      </c>
    </row>
    <row r="46" spans="1:3" x14ac:dyDescent="0.3">
      <c r="A46" t="s">
        <v>433</v>
      </c>
      <c r="B46">
        <v>28</v>
      </c>
      <c r="C46" s="2" t="str">
        <f>HYPERLINK("https://schulze.inhire.app/vagas","Abrir")</f>
        <v>Abrir</v>
      </c>
    </row>
    <row r="47" spans="1:3" x14ac:dyDescent="0.3">
      <c r="A47" t="s">
        <v>434</v>
      </c>
      <c r="B47">
        <v>28</v>
      </c>
      <c r="C47" s="2" t="str">
        <f>HYPERLINK("https://gruposrm.inhire.app/vagas","Abrir")</f>
        <v>Abrir</v>
      </c>
    </row>
    <row r="48" spans="1:3" x14ac:dyDescent="0.3">
      <c r="A48" t="s">
        <v>435</v>
      </c>
      <c r="B48">
        <v>28</v>
      </c>
      <c r="C48" s="2" t="str">
        <f>HYPERLINK("https://sylvamo.inhire.app/vagas","Abrir")</f>
        <v>Abrir</v>
      </c>
    </row>
    <row r="49" spans="1:3" x14ac:dyDescent="0.3">
      <c r="A49" t="s">
        <v>436</v>
      </c>
      <c r="B49">
        <v>27</v>
      </c>
      <c r="C49" s="2" t="str">
        <f>HYPERLINK("https://grupogvc.inhire.app/vagas","Abrir")</f>
        <v>Abrir</v>
      </c>
    </row>
    <row r="50" spans="1:3" x14ac:dyDescent="0.3">
      <c r="A50" t="s">
        <v>437</v>
      </c>
      <c r="B50">
        <v>27</v>
      </c>
      <c r="C50" s="2" t="str">
        <f>HYPERLINK("https://sanar.inhire.app/vagas","Abrir")</f>
        <v>Abrir</v>
      </c>
    </row>
    <row r="51" spans="1:3" x14ac:dyDescent="0.3">
      <c r="A51" t="s">
        <v>438</v>
      </c>
      <c r="B51">
        <v>26</v>
      </c>
      <c r="C51" s="2" t="str">
        <f>HYPERLINK("https://appmax.inhire.app/vagas","Abrir")</f>
        <v>Abrir</v>
      </c>
    </row>
    <row r="52" spans="1:3" x14ac:dyDescent="0.3">
      <c r="A52" t="s">
        <v>439</v>
      </c>
      <c r="B52">
        <v>26</v>
      </c>
      <c r="C52" s="2" t="str">
        <f>HYPERLINK("https://seuestagio.inhire.app/vagas","Abrir")</f>
        <v>Abrir</v>
      </c>
    </row>
    <row r="53" spans="1:3" x14ac:dyDescent="0.3">
      <c r="A53" t="s">
        <v>440</v>
      </c>
      <c r="B53">
        <v>26</v>
      </c>
      <c r="C53" s="2" t="str">
        <f>HYPERLINK("https://talentx.inhire.app/vagas","Abrir")</f>
        <v>Abrir</v>
      </c>
    </row>
    <row r="54" spans="1:3" x14ac:dyDescent="0.3">
      <c r="A54" t="s">
        <v>441</v>
      </c>
      <c r="B54">
        <v>25</v>
      </c>
      <c r="C54" s="2" t="str">
        <f>HYPERLINK("https://paytrack.inhire.app/vagas","Abrir")</f>
        <v>Abrir</v>
      </c>
    </row>
    <row r="55" spans="1:3" x14ac:dyDescent="0.3">
      <c r="A55" t="s">
        <v>442</v>
      </c>
      <c r="B55">
        <v>25</v>
      </c>
      <c r="C55" s="2" t="str">
        <f>HYPERLINK("https://tecer.inhire.app/vagas","Abrir")</f>
        <v>Abrir</v>
      </c>
    </row>
    <row r="56" spans="1:3" x14ac:dyDescent="0.3">
      <c r="A56" t="s">
        <v>443</v>
      </c>
      <c r="B56">
        <v>24</v>
      </c>
      <c r="C56" s="2" t="str">
        <f>HYPERLINK("https://livemode.inhire.app/vagas","Abrir")</f>
        <v>Abrir</v>
      </c>
    </row>
    <row r="57" spans="1:3" x14ac:dyDescent="0.3">
      <c r="A57" t="s">
        <v>444</v>
      </c>
      <c r="B57">
        <v>24</v>
      </c>
      <c r="C57" s="2" t="str">
        <f>HYPERLINK("https://magazord.inhire.app/vagas","Abrir")</f>
        <v>Abrir</v>
      </c>
    </row>
    <row r="58" spans="1:3" x14ac:dyDescent="0.3">
      <c r="A58" t="s">
        <v>445</v>
      </c>
      <c r="B58">
        <v>24</v>
      </c>
      <c r="C58" s="2" t="str">
        <f>HYPERLINK("https://melnick.inhire.app/vagas","Abrir")</f>
        <v>Abrir</v>
      </c>
    </row>
    <row r="59" spans="1:3" x14ac:dyDescent="0.3">
      <c r="A59" t="s">
        <v>446</v>
      </c>
      <c r="B59">
        <v>23</v>
      </c>
      <c r="C59" s="2" t="str">
        <f>HYPERLINK("https://luby.inhire.app/vagas","Abrir")</f>
        <v>Abrir</v>
      </c>
    </row>
    <row r="60" spans="1:3" x14ac:dyDescent="0.3">
      <c r="A60" t="s">
        <v>447</v>
      </c>
      <c r="B60">
        <v>23</v>
      </c>
      <c r="C60" s="2" t="str">
        <f>HYPERLINK("https://trinnus.inhire.app/vagas","Abrir")</f>
        <v>Abrir</v>
      </c>
    </row>
    <row r="61" spans="1:3" x14ac:dyDescent="0.3">
      <c r="A61" t="s">
        <v>448</v>
      </c>
      <c r="B61">
        <v>22</v>
      </c>
      <c r="C61" s="2" t="str">
        <f>HYPERLINK("https://ihunters.inhire.app/vagas","Abrir")</f>
        <v>Abrir</v>
      </c>
    </row>
    <row r="62" spans="1:3" x14ac:dyDescent="0.3">
      <c r="A62" t="s">
        <v>449</v>
      </c>
      <c r="B62">
        <v>21</v>
      </c>
      <c r="C62" s="2" t="str">
        <f>HYPERLINK("https://industriasanhembi.inhire.app/vagas","Abrir")</f>
        <v>Abrir</v>
      </c>
    </row>
    <row r="63" spans="1:3" x14ac:dyDescent="0.3">
      <c r="A63" t="s">
        <v>450</v>
      </c>
      <c r="B63">
        <v>21</v>
      </c>
      <c r="C63" s="2" t="str">
        <f>HYPERLINK("https://solfacil.inhire.app/vagas","Abrir")</f>
        <v>Abrir</v>
      </c>
    </row>
    <row r="64" spans="1:3" x14ac:dyDescent="0.3">
      <c r="A64" t="s">
        <v>451</v>
      </c>
      <c r="B64">
        <v>20</v>
      </c>
      <c r="C64" s="2" t="str">
        <f>HYPERLINK("https://bixtecnologia.inhire.app/vagas","Abrir")</f>
        <v>Abrir</v>
      </c>
    </row>
    <row r="65" spans="1:3" x14ac:dyDescent="0.3">
      <c r="A65" t="s">
        <v>452</v>
      </c>
      <c r="B65">
        <v>20</v>
      </c>
      <c r="C65" s="2" t="str">
        <f>HYPERLINK("https://credaluga.inhire.app/vagas","Abrir")</f>
        <v>Abrir</v>
      </c>
    </row>
    <row r="66" spans="1:3" x14ac:dyDescent="0.3">
      <c r="A66" t="s">
        <v>453</v>
      </c>
      <c r="B66">
        <v>20</v>
      </c>
      <c r="C66" s="2" t="str">
        <f>HYPERLINK("https://lotussolution.inhire.app/vagas","Abrir")</f>
        <v>Abrir</v>
      </c>
    </row>
    <row r="67" spans="1:3" x14ac:dyDescent="0.3">
      <c r="A67" t="s">
        <v>454</v>
      </c>
      <c r="B67">
        <v>20</v>
      </c>
      <c r="C67" s="2" t="str">
        <f>HYPERLINK("https://zallpy.inhire.app/vagas","Abrir")</f>
        <v>Abrir</v>
      </c>
    </row>
    <row r="68" spans="1:3" x14ac:dyDescent="0.3">
      <c r="A68" t="s">
        <v>455</v>
      </c>
      <c r="B68">
        <v>19</v>
      </c>
      <c r="C68" s="2" t="str">
        <f>HYPERLINK("https://betha.inhire.app/vagas","Abrir")</f>
        <v>Abrir</v>
      </c>
    </row>
    <row r="69" spans="1:3" x14ac:dyDescent="0.3">
      <c r="A69" t="s">
        <v>456</v>
      </c>
      <c r="B69">
        <v>19</v>
      </c>
      <c r="C69" s="2" t="str">
        <f>HYPERLINK("https://fretadao.inhire.app/vagas","Abrir")</f>
        <v>Abrir</v>
      </c>
    </row>
    <row r="70" spans="1:3" x14ac:dyDescent="0.3">
      <c r="A70" t="s">
        <v>457</v>
      </c>
      <c r="B70">
        <v>19</v>
      </c>
      <c r="C70" s="2" t="str">
        <f>HYPERLINK("https://rentcars.inhire.app/vagas","Abrir")</f>
        <v>Abrir</v>
      </c>
    </row>
    <row r="71" spans="1:3" x14ac:dyDescent="0.3">
      <c r="A71" t="s">
        <v>458</v>
      </c>
      <c r="B71">
        <v>18</v>
      </c>
      <c r="C71" s="2" t="str">
        <f>HYPERLINK("https://alinemainericonsultoria.inhire.app/vagas","Abrir")</f>
        <v>Abrir</v>
      </c>
    </row>
    <row r="72" spans="1:3" x14ac:dyDescent="0.3">
      <c r="A72" t="s">
        <v>459</v>
      </c>
      <c r="B72">
        <v>18</v>
      </c>
      <c r="C72" s="2" t="str">
        <f>HYPERLINK("https://eveo.inhire.app/vagas","Abrir")</f>
        <v>Abrir</v>
      </c>
    </row>
    <row r="73" spans="1:3" x14ac:dyDescent="0.3">
      <c r="A73" t="s">
        <v>460</v>
      </c>
      <c r="B73">
        <v>17</v>
      </c>
      <c r="C73" s="2" t="str">
        <f>HYPERLINK("https://ascasconsultoria.inhire.app/vagas","Abrir")</f>
        <v>Abrir</v>
      </c>
    </row>
    <row r="74" spans="1:3" x14ac:dyDescent="0.3">
      <c r="A74" t="s">
        <v>461</v>
      </c>
      <c r="B74">
        <v>17</v>
      </c>
      <c r="C74" s="2" t="str">
        <f>HYPERLINK("https://construtoraelevacao.inhire.app/vagas","Abrir")</f>
        <v>Abrir</v>
      </c>
    </row>
    <row r="75" spans="1:3" x14ac:dyDescent="0.3">
      <c r="A75" t="s">
        <v>462</v>
      </c>
      <c r="B75">
        <v>17</v>
      </c>
      <c r="C75" s="2" t="str">
        <f>HYPERLINK("https://liggatelecom.inhire.app/vagas","Abrir")</f>
        <v>Abrir</v>
      </c>
    </row>
    <row r="76" spans="1:3" x14ac:dyDescent="0.3">
      <c r="A76" t="s">
        <v>463</v>
      </c>
      <c r="B76">
        <v>17</v>
      </c>
      <c r="C76" s="2" t="str">
        <f>HYPERLINK("https://stoque.inhire.app/vagas","Abrir")</f>
        <v>Abrir</v>
      </c>
    </row>
    <row r="77" spans="1:3" x14ac:dyDescent="0.3">
      <c r="A77" t="s">
        <v>464</v>
      </c>
      <c r="B77">
        <v>17</v>
      </c>
      <c r="C77" s="2" t="str">
        <f>HYPERLINK("https://tecsul.inhire.app/vagas","Abrir")</f>
        <v>Abrir</v>
      </c>
    </row>
    <row r="78" spans="1:3" x14ac:dyDescent="0.3">
      <c r="A78" t="s">
        <v>465</v>
      </c>
      <c r="B78">
        <v>17</v>
      </c>
      <c r="C78" s="2" t="str">
        <f>HYPERLINK("https://wsut.inhire.app/vagas","Abrir")</f>
        <v>Abrir</v>
      </c>
    </row>
    <row r="79" spans="1:3" x14ac:dyDescent="0.3">
      <c r="A79" t="s">
        <v>466</v>
      </c>
      <c r="B79">
        <v>17</v>
      </c>
      <c r="C79" s="2" t="str">
        <f>HYPERLINK("https://windcraft.inhire.app/vagas","Abrir")</f>
        <v>Abrir</v>
      </c>
    </row>
    <row r="80" spans="1:3" x14ac:dyDescent="0.3">
      <c r="A80" t="s">
        <v>467</v>
      </c>
      <c r="B80">
        <v>17</v>
      </c>
      <c r="C80" s="2" t="str">
        <f>HYPERLINK("https://zappts.inhire.app/vagas","Abrir")</f>
        <v>Abrir</v>
      </c>
    </row>
    <row r="81" spans="1:3" x14ac:dyDescent="0.3">
      <c r="A81" t="s">
        <v>468</v>
      </c>
      <c r="B81">
        <v>16</v>
      </c>
      <c r="C81" s="2" t="str">
        <f>HYPERLINK("https://avel.inhire.app/vagas","Abrir")</f>
        <v>Abrir</v>
      </c>
    </row>
    <row r="82" spans="1:3" x14ac:dyDescent="0.3">
      <c r="A82" t="s">
        <v>469</v>
      </c>
      <c r="B82">
        <v>16</v>
      </c>
      <c r="C82" s="2" t="str">
        <f>HYPERLINK("https://cesconbarrieu.inhire.app/vagas","Abrir")</f>
        <v>Abrir</v>
      </c>
    </row>
    <row r="83" spans="1:3" x14ac:dyDescent="0.3">
      <c r="A83" t="s">
        <v>470</v>
      </c>
      <c r="B83">
        <v>16</v>
      </c>
      <c r="C83" s="2" t="str">
        <f>HYPERLINK("https://grupogcb.inhire.app/vagas","Abrir")</f>
        <v>Abrir</v>
      </c>
    </row>
    <row r="84" spans="1:3" x14ac:dyDescent="0.3">
      <c r="A84" t="s">
        <v>471</v>
      </c>
      <c r="B84">
        <v>16</v>
      </c>
      <c r="C84" s="2" t="str">
        <f>HYPERLINK("https://autoglass.inhire.app/vagas","Abrir")</f>
        <v>Abrir</v>
      </c>
    </row>
    <row r="85" spans="1:3" x14ac:dyDescent="0.3">
      <c r="A85" t="s">
        <v>472</v>
      </c>
      <c r="B85">
        <v>16</v>
      </c>
      <c r="C85" s="2" t="str">
        <f>HYPERLINK("https://guaracamp.inhire.app/vagas","Abrir")</f>
        <v>Abrir</v>
      </c>
    </row>
    <row r="86" spans="1:3" x14ac:dyDescent="0.3">
      <c r="A86" t="s">
        <v>473</v>
      </c>
      <c r="B86">
        <v>16</v>
      </c>
      <c r="C86" s="2" t="str">
        <f>HYPERLINK("https://mksolutions.inhire.app/vagas","Abrir")</f>
        <v>Abrir</v>
      </c>
    </row>
    <row r="87" spans="1:3" x14ac:dyDescent="0.3">
      <c r="A87" t="s">
        <v>474</v>
      </c>
      <c r="B87">
        <v>16</v>
      </c>
      <c r="C87" s="2" t="str">
        <f>HYPERLINK("https://turbo.inhire.app/vagas","Abrir")</f>
        <v>Abrir</v>
      </c>
    </row>
    <row r="88" spans="1:3" x14ac:dyDescent="0.3">
      <c r="A88" t="s">
        <v>475</v>
      </c>
      <c r="B88">
        <v>15</v>
      </c>
      <c r="C88" s="2" t="str">
        <f>HYPERLINK("https://ctctech.inhire.app/vagas","Abrir")</f>
        <v>Abrir</v>
      </c>
    </row>
    <row r="89" spans="1:3" x14ac:dyDescent="0.3">
      <c r="A89" t="s">
        <v>476</v>
      </c>
      <c r="B89">
        <v>15</v>
      </c>
      <c r="C89" s="2" t="str">
        <f>HYPERLINK("https://eclipseworks.inhire.app/vagas","Abrir")</f>
        <v>Abrir</v>
      </c>
    </row>
    <row r="90" spans="1:3" x14ac:dyDescent="0.3">
      <c r="A90" t="s">
        <v>477</v>
      </c>
      <c r="B90">
        <v>15</v>
      </c>
      <c r="C90" s="2" t="str">
        <f>HYPERLINK("https://alura-fiap-pm3.inhire.app/vagas","Abrir")</f>
        <v>Abrir</v>
      </c>
    </row>
    <row r="91" spans="1:3" x14ac:dyDescent="0.3">
      <c r="A91" t="s">
        <v>478</v>
      </c>
      <c r="B91">
        <v>15</v>
      </c>
      <c r="C91" s="2" t="str">
        <f>HYPERLINK("https://idg.inhire.app/vagas","Abrir")</f>
        <v>Abrir</v>
      </c>
    </row>
    <row r="92" spans="1:3" x14ac:dyDescent="0.3">
      <c r="A92" t="s">
        <v>479</v>
      </c>
      <c r="B92">
        <v>15</v>
      </c>
      <c r="C92" s="2" t="str">
        <f>HYPERLINK("https://octafy.inhire.app/vagas","Abrir")</f>
        <v>Abrir</v>
      </c>
    </row>
    <row r="93" spans="1:3" x14ac:dyDescent="0.3">
      <c r="A93" t="s">
        <v>480</v>
      </c>
      <c r="B93">
        <v>15</v>
      </c>
      <c r="C93" s="2" t="str">
        <f>HYPERLINK("https://vortx.inhire.app/vagas","Abrir")</f>
        <v>Abrir</v>
      </c>
    </row>
    <row r="94" spans="1:3" x14ac:dyDescent="0.3">
      <c r="A94" t="s">
        <v>481</v>
      </c>
      <c r="B94">
        <v>15</v>
      </c>
      <c r="C94" s="2" t="str">
        <f>HYPERLINK("https://yandeh.inhire.app/vagas","Abrir")</f>
        <v>Abrir</v>
      </c>
    </row>
    <row r="95" spans="1:3" x14ac:dyDescent="0.3">
      <c r="A95" t="s">
        <v>482</v>
      </c>
      <c r="B95">
        <v>14</v>
      </c>
      <c r="C95" s="2" t="str">
        <f>HYPERLINK("https://cashme.inhire.app/vagas","Abrir")</f>
        <v>Abrir</v>
      </c>
    </row>
    <row r="96" spans="1:3" x14ac:dyDescent="0.3">
      <c r="A96" t="s">
        <v>483</v>
      </c>
      <c r="B96">
        <v>14</v>
      </c>
      <c r="C96" s="2" t="str">
        <f>HYPERLINK("https://crmbonus.inhire.app/vagas","Abrir")</f>
        <v>Abrir</v>
      </c>
    </row>
    <row r="97" spans="1:3" x14ac:dyDescent="0.3">
      <c r="A97" t="s">
        <v>484</v>
      </c>
      <c r="B97">
        <v>14</v>
      </c>
      <c r="C97" s="2" t="str">
        <f>HYPERLINK("https://fitting.inhire.app/vagas","Abrir")</f>
        <v>Abrir</v>
      </c>
    </row>
    <row r="98" spans="1:3" x14ac:dyDescent="0.3">
      <c r="A98" t="s">
        <v>485</v>
      </c>
      <c r="B98">
        <v>14</v>
      </c>
      <c r="C98" s="2" t="str">
        <f>HYPERLINK("https://flutterbrazil.inhire.app/vagas","Abrir")</f>
        <v>Abrir</v>
      </c>
    </row>
    <row r="99" spans="1:3" x14ac:dyDescent="0.3">
      <c r="A99" t="s">
        <v>486</v>
      </c>
      <c r="B99">
        <v>14</v>
      </c>
      <c r="C99" s="2" t="str">
        <f>HYPERLINK("https://goflow.inhire.app/vagas","Abrir")</f>
        <v>Abrir</v>
      </c>
    </row>
    <row r="100" spans="1:3" x14ac:dyDescent="0.3">
      <c r="A100" t="s">
        <v>487</v>
      </c>
      <c r="B100">
        <v>14</v>
      </c>
      <c r="C100" s="2" t="str">
        <f>HYPERLINK("https://leaderetalent.inhire.app/vagas","Abrir")</f>
        <v>Abrir</v>
      </c>
    </row>
    <row r="101" spans="1:3" x14ac:dyDescent="0.3">
      <c r="A101" t="s">
        <v>488</v>
      </c>
      <c r="B101">
        <v>14</v>
      </c>
      <c r="C101" s="2" t="str">
        <f>HYPERLINK("https://lwsa.inhire.app/vagas","Abrir")</f>
        <v>Abrir</v>
      </c>
    </row>
    <row r="102" spans="1:3" x14ac:dyDescent="0.3">
      <c r="A102" t="s">
        <v>489</v>
      </c>
      <c r="B102">
        <v>14</v>
      </c>
      <c r="C102" s="2" t="str">
        <f>HYPERLINK("https://segura.inhire.app/vagas","Abrir")</f>
        <v>Abrir</v>
      </c>
    </row>
    <row r="103" spans="1:3" x14ac:dyDescent="0.3">
      <c r="A103" t="s">
        <v>490</v>
      </c>
      <c r="B103">
        <v>13</v>
      </c>
      <c r="C103" s="2" t="str">
        <f>HYPERLINK("https://infleet.inhire.app/vagas","Abrir")</f>
        <v>Abrir</v>
      </c>
    </row>
    <row r="104" spans="1:3" x14ac:dyDescent="0.3">
      <c r="A104" t="s">
        <v>491</v>
      </c>
      <c r="B104">
        <v>13</v>
      </c>
      <c r="C104" s="2" t="str">
        <f>HYPERLINK("https://lemonenergia.inhire.app/vagas","Abrir")</f>
        <v>Abrir</v>
      </c>
    </row>
    <row r="105" spans="1:3" x14ac:dyDescent="0.3">
      <c r="A105" t="s">
        <v>492</v>
      </c>
      <c r="B105">
        <v>13</v>
      </c>
      <c r="C105" s="2" t="str">
        <f>HYPERLINK("https://yolo.inhire.app/vagas","Abrir")</f>
        <v>Abrir</v>
      </c>
    </row>
    <row r="106" spans="1:3" x14ac:dyDescent="0.3">
      <c r="A106" t="s">
        <v>493</v>
      </c>
      <c r="B106">
        <v>12</v>
      </c>
      <c r="C106" s="2" t="str">
        <f>HYPERLINK("https://essenceit.inhire.app/vagas","Abrir")</f>
        <v>Abrir</v>
      </c>
    </row>
    <row r="107" spans="1:3" x14ac:dyDescent="0.3">
      <c r="A107" t="s">
        <v>494</v>
      </c>
      <c r="B107">
        <v>12</v>
      </c>
      <c r="C107" s="2" t="str">
        <f>HYPERLINK("https://jassy.inhire.app/vagas","Abrir")</f>
        <v>Abrir</v>
      </c>
    </row>
    <row r="108" spans="1:3" x14ac:dyDescent="0.3">
      <c r="A108" t="s">
        <v>495</v>
      </c>
      <c r="B108">
        <v>12</v>
      </c>
      <c r="C108" s="2" t="str">
        <f>HYPERLINK("https://pottencial.inhire.app/vagas","Abrir")</f>
        <v>Abrir</v>
      </c>
    </row>
    <row r="109" spans="1:3" x14ac:dyDescent="0.3">
      <c r="A109" t="s">
        <v>496</v>
      </c>
      <c r="B109">
        <v>12</v>
      </c>
      <c r="C109" s="2" t="str">
        <f>HYPERLINK("https://procfit.inhire.app/vagas","Abrir")</f>
        <v>Abrir</v>
      </c>
    </row>
    <row r="110" spans="1:3" x14ac:dyDescent="0.3">
      <c r="A110" t="s">
        <v>497</v>
      </c>
      <c r="B110">
        <v>12</v>
      </c>
      <c r="C110" s="2" t="str">
        <f>HYPERLINK("https://qive.inhire.app/vagas","Abrir")</f>
        <v>Abrir</v>
      </c>
    </row>
    <row r="111" spans="1:3" x14ac:dyDescent="0.3">
      <c r="A111" t="s">
        <v>498</v>
      </c>
      <c r="B111">
        <v>12</v>
      </c>
      <c r="C111" s="2" t="str">
        <f>HYPERLINK("https://zig.inhire.app/vagas","Abrir")</f>
        <v>Abrir</v>
      </c>
    </row>
    <row r="112" spans="1:3" x14ac:dyDescent="0.3">
      <c r="A112" t="s">
        <v>499</v>
      </c>
      <c r="B112">
        <v>11</v>
      </c>
      <c r="C112" s="2" t="str">
        <f>HYPERLINK("https://brms.inhire.app/vagas","Abrir")</f>
        <v>Abrir</v>
      </c>
    </row>
    <row r="113" spans="1:3" x14ac:dyDescent="0.3">
      <c r="A113" t="s">
        <v>500</v>
      </c>
      <c r="B113">
        <v>11</v>
      </c>
      <c r="C113" s="2" t="str">
        <f>HYPERLINK("https://conxconstrutora.inhire.app/vagas","Abrir")</f>
        <v>Abrir</v>
      </c>
    </row>
    <row r="114" spans="1:3" x14ac:dyDescent="0.3">
      <c r="A114" t="s">
        <v>501</v>
      </c>
      <c r="B114">
        <v>11</v>
      </c>
      <c r="C114" s="2" t="str">
        <f>HYPERLINK("https://grupogcbinvestimentos.inhire.app/vagas","Abrir")</f>
        <v>Abrir</v>
      </c>
    </row>
    <row r="115" spans="1:3" x14ac:dyDescent="0.3">
      <c r="A115" t="s">
        <v>502</v>
      </c>
      <c r="B115">
        <v>11</v>
      </c>
      <c r="C115" s="2" t="str">
        <f>HYPERLINK("https://heads.inhire.app/vagas","Abrir")</f>
        <v>Abrir</v>
      </c>
    </row>
    <row r="116" spans="1:3" x14ac:dyDescent="0.3">
      <c r="A116" t="s">
        <v>503</v>
      </c>
      <c r="B116">
        <v>11</v>
      </c>
      <c r="C116" s="2" t="str">
        <f>HYPERLINK("https://petitrh.inhire.app/vagas","Abrir")</f>
        <v>Abrir</v>
      </c>
    </row>
    <row r="117" spans="1:3" x14ac:dyDescent="0.3">
      <c r="A117" t="s">
        <v>504</v>
      </c>
      <c r="B117">
        <v>11</v>
      </c>
      <c r="C117" s="2" t="str">
        <f>HYPERLINK("https://pmfo.inhire.app/vagas","Abrir")</f>
        <v>Abrir</v>
      </c>
    </row>
    <row r="118" spans="1:3" x14ac:dyDescent="0.3">
      <c r="A118" t="s">
        <v>505</v>
      </c>
      <c r="B118">
        <v>11</v>
      </c>
      <c r="C118" s="2" t="str">
        <f>HYPERLINK("https://riogaleao.inhire.app/vagas","Abrir")</f>
        <v>Abrir</v>
      </c>
    </row>
    <row r="119" spans="1:3" x14ac:dyDescent="0.3">
      <c r="A119" t="s">
        <v>506</v>
      </c>
      <c r="B119">
        <v>11</v>
      </c>
      <c r="C119" s="2" t="str">
        <f>HYPERLINK("https://tpgroup.inhire.app/vagas","Abrir")</f>
        <v>Abrir</v>
      </c>
    </row>
    <row r="120" spans="1:3" x14ac:dyDescent="0.3">
      <c r="A120" t="s">
        <v>507</v>
      </c>
      <c r="B120">
        <v>10</v>
      </c>
      <c r="C120" s="2" t="str">
        <f>HYPERLINK("https://kstack.inhire.app/vagas","Abrir")</f>
        <v>Abrir</v>
      </c>
    </row>
    <row r="121" spans="1:3" x14ac:dyDescent="0.3">
      <c r="A121" t="s">
        <v>508</v>
      </c>
      <c r="B121">
        <v>10</v>
      </c>
      <c r="C121" s="2" t="str">
        <f>HYPERLINK("https://lfaadvogados.inhire.app/vagas","Abrir")</f>
        <v>Abrir</v>
      </c>
    </row>
    <row r="122" spans="1:3" x14ac:dyDescent="0.3">
      <c r="A122" t="s">
        <v>509</v>
      </c>
      <c r="B122">
        <v>10</v>
      </c>
      <c r="C122" s="2" t="str">
        <f>HYPERLINK("https://movecta.inhire.app/vagas","Abrir")</f>
        <v>Abrir</v>
      </c>
    </row>
    <row r="123" spans="1:3" x14ac:dyDescent="0.3">
      <c r="A123" t="s">
        <v>510</v>
      </c>
      <c r="B123">
        <v>10</v>
      </c>
      <c r="C123" s="2" t="str">
        <f>HYPERLINK("https://grupothink.inhire.app/vagas","Abrir")</f>
        <v>Abrir</v>
      </c>
    </row>
    <row r="124" spans="1:3" x14ac:dyDescent="0.3">
      <c r="A124" t="s">
        <v>511</v>
      </c>
      <c r="B124">
        <v>10</v>
      </c>
      <c r="C124" s="2" t="str">
        <f>HYPERLINK("https://unionit.inhire.app/vagas","Abrir")</f>
        <v>Abrir</v>
      </c>
    </row>
    <row r="125" spans="1:3" x14ac:dyDescent="0.3">
      <c r="A125" t="s">
        <v>512</v>
      </c>
      <c r="B125">
        <v>10</v>
      </c>
      <c r="C125" s="2" t="str">
        <f>HYPERLINK("https://vrental.inhire.app/vagas","Abrir")</f>
        <v>Abrir</v>
      </c>
    </row>
    <row r="126" spans="1:3" x14ac:dyDescent="0.3">
      <c r="A126" t="s">
        <v>513</v>
      </c>
      <c r="B126">
        <v>9</v>
      </c>
      <c r="C126" s="2" t="str">
        <f>HYPERLINK("https://atip.inhire.app/vagas","Abrir")</f>
        <v>Abrir</v>
      </c>
    </row>
    <row r="127" spans="1:3" x14ac:dyDescent="0.3">
      <c r="A127" t="s">
        <v>514</v>
      </c>
      <c r="B127">
        <v>9</v>
      </c>
      <c r="C127" s="2" t="str">
        <f>HYPERLINK("https://barrosadvogados.inhire.app/vagas","Abrir")</f>
        <v>Abrir</v>
      </c>
    </row>
    <row r="128" spans="1:3" x14ac:dyDescent="0.3">
      <c r="A128" t="s">
        <v>515</v>
      </c>
      <c r="B128">
        <v>9</v>
      </c>
      <c r="C128" s="2" t="str">
        <f>HYPERLINK("https://cayena.inhire.app/vagas","Abrir")</f>
        <v>Abrir</v>
      </c>
    </row>
    <row r="129" spans="1:3" x14ac:dyDescent="0.3">
      <c r="A129" t="s">
        <v>516</v>
      </c>
      <c r="B129">
        <v>9</v>
      </c>
      <c r="C129" s="2" t="str">
        <f>HYPERLINK("https://cidadaniaja.inhire.app/vagas","Abrir")</f>
        <v>Abrir</v>
      </c>
    </row>
    <row r="130" spans="1:3" x14ac:dyDescent="0.3">
      <c r="A130" t="s">
        <v>517</v>
      </c>
      <c r="B130">
        <v>9</v>
      </c>
      <c r="C130" s="2" t="str">
        <f>HYPERLINK("https://clavis.inhire.app/vagas","Abrir")</f>
        <v>Abrir</v>
      </c>
    </row>
    <row r="131" spans="1:3" x14ac:dyDescent="0.3">
      <c r="A131" t="s">
        <v>518</v>
      </c>
      <c r="B131">
        <v>9</v>
      </c>
      <c r="C131" s="2" t="str">
        <f>HYPERLINK("https://dbservices.inhire.app/vagas","Abrir")</f>
        <v>Abrir</v>
      </c>
    </row>
    <row r="132" spans="1:3" x14ac:dyDescent="0.3">
      <c r="A132" t="s">
        <v>519</v>
      </c>
      <c r="B132">
        <v>9</v>
      </c>
      <c r="C132" s="2" t="str">
        <f>HYPERLINK("https://dqrtech.inhire.app/vagas","Abrir")</f>
        <v>Abrir</v>
      </c>
    </row>
    <row r="133" spans="1:3" x14ac:dyDescent="0.3">
      <c r="A133" t="s">
        <v>520</v>
      </c>
      <c r="B133">
        <v>9</v>
      </c>
      <c r="C133" s="2" t="str">
        <f>HYPERLINK("https://fsbholding.inhire.app/vagas","Abrir")</f>
        <v>Abrir</v>
      </c>
    </row>
    <row r="134" spans="1:3" x14ac:dyDescent="0.3">
      <c r="A134" t="s">
        <v>521</v>
      </c>
      <c r="B134">
        <v>9</v>
      </c>
      <c r="C134" s="2" t="str">
        <f>HYPERLINK("https://geo3d.inhire.app/vagas","Abrir")</f>
        <v>Abrir</v>
      </c>
    </row>
    <row r="135" spans="1:3" x14ac:dyDescent="0.3">
      <c r="A135" t="s">
        <v>522</v>
      </c>
      <c r="B135">
        <v>9</v>
      </c>
      <c r="C135" s="2" t="str">
        <f>HYPERLINK("https://multi7.inhire.app/vagas","Abrir")</f>
        <v>Abrir</v>
      </c>
    </row>
    <row r="136" spans="1:3" x14ac:dyDescent="0.3">
      <c r="A136" t="s">
        <v>523</v>
      </c>
      <c r="B136">
        <v>9</v>
      </c>
      <c r="C136" s="2" t="str">
        <f>HYPERLINK("https://praso.inhire.app/vagas","Abrir")</f>
        <v>Abrir</v>
      </c>
    </row>
    <row r="137" spans="1:3" x14ac:dyDescent="0.3">
      <c r="A137" t="s">
        <v>524</v>
      </c>
      <c r="B137">
        <v>9</v>
      </c>
      <c r="C137" s="2" t="str">
        <f>HYPERLINK("https://quicksoft.inhire.app/vagas","Abrir")</f>
        <v>Abrir</v>
      </c>
    </row>
    <row r="138" spans="1:3" x14ac:dyDescent="0.3">
      <c r="A138" t="s">
        <v>525</v>
      </c>
      <c r="B138">
        <v>9</v>
      </c>
      <c r="C138" s="2" t="str">
        <f>HYPERLINK("https://same-engenharia.inhire.app/vagas","Abrir")</f>
        <v>Abrir</v>
      </c>
    </row>
    <row r="139" spans="1:3" x14ac:dyDescent="0.3">
      <c r="A139" t="s">
        <v>526</v>
      </c>
      <c r="B139">
        <v>9</v>
      </c>
      <c r="C139" s="2" t="str">
        <f>HYPERLINK("https://segurossura.inhire.app/vagas","Abrir")</f>
        <v>Abrir</v>
      </c>
    </row>
    <row r="140" spans="1:3" x14ac:dyDescent="0.3">
      <c r="A140" t="s">
        <v>527</v>
      </c>
      <c r="B140">
        <v>9</v>
      </c>
      <c r="C140" s="2" t="str">
        <f>HYPERLINK("https://gx2.inhire.app/vagas","Abrir")</f>
        <v>Abrir</v>
      </c>
    </row>
    <row r="141" spans="1:3" x14ac:dyDescent="0.3">
      <c r="A141" t="s">
        <v>528</v>
      </c>
      <c r="B141">
        <v>9</v>
      </c>
      <c r="C141" s="2" t="str">
        <f>HYPERLINK("https://vertigo.inhire.app/vagas","Abrir")</f>
        <v>Abrir</v>
      </c>
    </row>
    <row r="142" spans="1:3" x14ac:dyDescent="0.3">
      <c r="A142" t="s">
        <v>529</v>
      </c>
      <c r="B142">
        <v>8</v>
      </c>
      <c r="C142" s="2" t="str">
        <f>HYPERLINK("https://automind.inhire.app/vagas","Abrir")</f>
        <v>Abrir</v>
      </c>
    </row>
    <row r="143" spans="1:3" x14ac:dyDescent="0.3">
      <c r="A143" t="s">
        <v>530</v>
      </c>
      <c r="B143">
        <v>8</v>
      </c>
      <c r="C143" s="2" t="str">
        <f>HYPERLINK("https://bridge.inhire.app/vagas","Abrir")</f>
        <v>Abrir</v>
      </c>
    </row>
    <row r="144" spans="1:3" x14ac:dyDescent="0.3">
      <c r="A144" t="s">
        <v>531</v>
      </c>
      <c r="B144">
        <v>8</v>
      </c>
      <c r="C144" s="2" t="str">
        <f>HYPERLINK("https://coaktion.inhire.app/vagas","Abrir")</f>
        <v>Abrir</v>
      </c>
    </row>
    <row r="145" spans="1:3" x14ac:dyDescent="0.3">
      <c r="A145" t="s">
        <v>532</v>
      </c>
      <c r="B145">
        <v>8</v>
      </c>
      <c r="C145" s="2" t="str">
        <f>HYPERLINK("https://credipronto.inhire.app/vagas","Abrir")</f>
        <v>Abrir</v>
      </c>
    </row>
    <row r="146" spans="1:3" x14ac:dyDescent="0.3">
      <c r="A146" t="s">
        <v>533</v>
      </c>
      <c r="B146">
        <v>8</v>
      </c>
      <c r="C146" s="2" t="str">
        <f>HYPERLINK("https://dartz.inhire.app/vagas","Abrir")</f>
        <v>Abrir</v>
      </c>
    </row>
    <row r="147" spans="1:3" x14ac:dyDescent="0.3">
      <c r="A147" t="s">
        <v>534</v>
      </c>
      <c r="B147">
        <v>8</v>
      </c>
      <c r="C147" s="2" t="str">
        <f>HYPERLINK("https://exa.inhire.app/vagas","Abrir")</f>
        <v>Abrir</v>
      </c>
    </row>
    <row r="148" spans="1:3" x14ac:dyDescent="0.3">
      <c r="A148" t="s">
        <v>535</v>
      </c>
      <c r="B148">
        <v>8</v>
      </c>
      <c r="C148" s="2" t="str">
        <f>HYPERLINK("https://facilitapay.inhire.app/vagas","Abrir")</f>
        <v>Abrir</v>
      </c>
    </row>
    <row r="149" spans="1:3" x14ac:dyDescent="0.3">
      <c r="A149" t="s">
        <v>536</v>
      </c>
      <c r="B149">
        <v>8</v>
      </c>
      <c r="C149" s="2" t="str">
        <f>HYPERLINK("https://fricon.inhire.app/vagas","Abrir")</f>
        <v>Abrir</v>
      </c>
    </row>
    <row r="150" spans="1:3" x14ac:dyDescent="0.3">
      <c r="A150" t="s">
        <v>537</v>
      </c>
      <c r="B150">
        <v>8</v>
      </c>
      <c r="C150" s="2" t="str">
        <f>HYPERLINK("https://grupoguiainvest.inhire.app/vagas","Abrir")</f>
        <v>Abrir</v>
      </c>
    </row>
    <row r="151" spans="1:3" x14ac:dyDescent="0.3">
      <c r="A151" t="s">
        <v>538</v>
      </c>
      <c r="B151">
        <v>8</v>
      </c>
      <c r="C151" s="2" t="str">
        <f>HYPERLINK("https://kanastra.inhire.app/vagas","Abrir")</f>
        <v>Abrir</v>
      </c>
    </row>
    <row r="152" spans="1:3" x14ac:dyDescent="0.3">
      <c r="A152" t="s">
        <v>539</v>
      </c>
      <c r="B152">
        <v>8</v>
      </c>
      <c r="C152" s="2" t="str">
        <f>HYPERLINK("https://kooperecooperativa.inhire.app/vagas","Abrir")</f>
        <v>Abrir</v>
      </c>
    </row>
    <row r="153" spans="1:3" x14ac:dyDescent="0.3">
      <c r="A153" t="s">
        <v>540</v>
      </c>
      <c r="B153">
        <v>8</v>
      </c>
      <c r="C153" s="2" t="str">
        <f>HYPERLINK("https://luzandreyaconsultoria.inhire.app/vagas","Abrir")</f>
        <v>Abrir</v>
      </c>
    </row>
    <row r="154" spans="1:3" x14ac:dyDescent="0.3">
      <c r="A154" t="s">
        <v>541</v>
      </c>
      <c r="B154">
        <v>8</v>
      </c>
      <c r="C154" s="2" t="str">
        <f>HYPERLINK("https://medway.inhire.app/vagas","Abrir")</f>
        <v>Abrir</v>
      </c>
    </row>
    <row r="155" spans="1:3" x14ac:dyDescent="0.3">
      <c r="A155" t="s">
        <v>542</v>
      </c>
      <c r="B155">
        <v>8</v>
      </c>
      <c r="C155" s="2" t="str">
        <f>HYPERLINK("https://nts.inhire.app/vagas","Abrir")</f>
        <v>Abrir</v>
      </c>
    </row>
    <row r="156" spans="1:3" x14ac:dyDescent="0.3">
      <c r="A156" t="s">
        <v>543</v>
      </c>
      <c r="B156">
        <v>8</v>
      </c>
      <c r="C156" s="2" t="str">
        <f>HYPERLINK("https://pier.inhire.app/vagas","Abrir")</f>
        <v>Abrir</v>
      </c>
    </row>
    <row r="157" spans="1:3" x14ac:dyDescent="0.3">
      <c r="A157" t="s">
        <v>544</v>
      </c>
      <c r="B157">
        <v>8</v>
      </c>
      <c r="C157" s="2" t="str">
        <f>HYPERLINK("https://seventh.inhire.app/vagas","Abrir")</f>
        <v>Abrir</v>
      </c>
    </row>
    <row r="158" spans="1:3" x14ac:dyDescent="0.3">
      <c r="A158" t="s">
        <v>545</v>
      </c>
      <c r="B158">
        <v>8</v>
      </c>
      <c r="C158" s="2" t="str">
        <f>HYPERLINK("https://ume.inhire.app/vagas","Abrir")</f>
        <v>Abrir</v>
      </c>
    </row>
    <row r="159" spans="1:3" x14ac:dyDescent="0.3">
      <c r="A159" t="s">
        <v>546</v>
      </c>
      <c r="B159">
        <v>8</v>
      </c>
      <c r="C159" s="2" t="str">
        <f>HYPERLINK("https://unitech.inhire.app/vagas","Abrir")</f>
        <v>Abrir</v>
      </c>
    </row>
    <row r="160" spans="1:3" x14ac:dyDescent="0.3">
      <c r="A160" t="s">
        <v>547</v>
      </c>
      <c r="B160">
        <v>8</v>
      </c>
      <c r="C160" s="2" t="str">
        <f>HYPERLINK("https://v360.inhire.app/vagas","Abrir")</f>
        <v>Abrir</v>
      </c>
    </row>
    <row r="161" spans="1:3" x14ac:dyDescent="0.3">
      <c r="A161" t="s">
        <v>548</v>
      </c>
      <c r="B161">
        <v>8</v>
      </c>
      <c r="C161" s="2" t="str">
        <f>HYPERLINK("https://wehandle.inhire.app/vagas","Abrir")</f>
        <v>Abrir</v>
      </c>
    </row>
    <row r="162" spans="1:3" x14ac:dyDescent="0.3">
      <c r="A162" t="s">
        <v>549</v>
      </c>
      <c r="B162">
        <v>7</v>
      </c>
      <c r="C162" s="2" t="str">
        <f>HYPERLINK("https://2future.inhire.app/vagas","Abrir")</f>
        <v>Abrir</v>
      </c>
    </row>
    <row r="163" spans="1:3" x14ac:dyDescent="0.3">
      <c r="A163" t="s">
        <v>550</v>
      </c>
      <c r="B163">
        <v>7</v>
      </c>
      <c r="C163" s="2" t="str">
        <f>HYPERLINK("https://atlastechnol.inhire.app/vagas","Abrir")</f>
        <v>Abrir</v>
      </c>
    </row>
    <row r="164" spans="1:3" x14ac:dyDescent="0.3">
      <c r="A164" t="s">
        <v>551</v>
      </c>
      <c r="B164">
        <v>7</v>
      </c>
      <c r="C164" s="2" t="str">
        <f>HYPERLINK("https://autopass.inhire.app/vagas","Abrir")</f>
        <v>Abrir</v>
      </c>
    </row>
    <row r="165" spans="1:3" x14ac:dyDescent="0.3">
      <c r="A165" t="s">
        <v>552</v>
      </c>
      <c r="B165">
        <v>7</v>
      </c>
      <c r="C165" s="2" t="str">
        <f>HYPERLINK("https://bankme.inhire.app/vagas","Abrir")</f>
        <v>Abrir</v>
      </c>
    </row>
    <row r="166" spans="1:3" x14ac:dyDescent="0.3">
      <c r="A166" t="s">
        <v>553</v>
      </c>
      <c r="B166">
        <v>7</v>
      </c>
      <c r="C166" s="2" t="str">
        <f>HYPERLINK("https://caf.inhire.app/vagas","Abrir")</f>
        <v>Abrir</v>
      </c>
    </row>
    <row r="167" spans="1:3" x14ac:dyDescent="0.3">
      <c r="A167" t="s">
        <v>553</v>
      </c>
      <c r="B167">
        <v>7</v>
      </c>
      <c r="C167" s="2" t="str">
        <f>HYPERLINK("https://certta.inhire.app/vagas","Abrir")</f>
        <v>Abrir</v>
      </c>
    </row>
    <row r="168" spans="1:3" x14ac:dyDescent="0.3">
      <c r="A168" t="s">
        <v>554</v>
      </c>
      <c r="B168">
        <v>7</v>
      </c>
      <c r="C168" s="2" t="str">
        <f>HYPERLINK("https://carbigdata.inhire.app/vagas","Abrir")</f>
        <v>Abrir</v>
      </c>
    </row>
    <row r="169" spans="1:3" x14ac:dyDescent="0.3">
      <c r="A169" t="s">
        <v>555</v>
      </c>
      <c r="B169">
        <v>7</v>
      </c>
      <c r="C169" s="2" t="str">
        <f>HYPERLINK("https://construtorapatriani.inhire.app/vagas","Abrir")</f>
        <v>Abrir</v>
      </c>
    </row>
    <row r="170" spans="1:3" x14ac:dyDescent="0.3">
      <c r="A170" t="s">
        <v>556</v>
      </c>
      <c r="B170">
        <v>7</v>
      </c>
      <c r="C170" s="2" t="str">
        <f>HYPERLINK("https://edge.inhire.app/vagas","Abrir")</f>
        <v>Abrir</v>
      </c>
    </row>
    <row r="171" spans="1:3" x14ac:dyDescent="0.3">
      <c r="A171" t="s">
        <v>557</v>
      </c>
      <c r="B171">
        <v>7</v>
      </c>
      <c r="C171" s="2" t="str">
        <f>HYPERLINK("https://erural.inhire.app/vagas","Abrir")</f>
        <v>Abrir</v>
      </c>
    </row>
    <row r="172" spans="1:3" x14ac:dyDescent="0.3">
      <c r="A172" t="s">
        <v>558</v>
      </c>
      <c r="B172">
        <v>7</v>
      </c>
      <c r="C172" s="2" t="str">
        <f>HYPERLINK("https://farmtech.inhire.app/vagas","Abrir")</f>
        <v>Abrir</v>
      </c>
    </row>
    <row r="173" spans="1:3" x14ac:dyDescent="0.3">
      <c r="A173" t="s">
        <v>559</v>
      </c>
      <c r="B173">
        <v>7</v>
      </c>
      <c r="C173" s="2" t="str">
        <f>HYPERLINK("https://flemingeducacao.inhire.app/vagas","Abrir")</f>
        <v>Abrir</v>
      </c>
    </row>
    <row r="174" spans="1:3" x14ac:dyDescent="0.3">
      <c r="A174" t="s">
        <v>560</v>
      </c>
      <c r="B174">
        <v>7</v>
      </c>
      <c r="C174" s="2" t="str">
        <f>HYPERLINK("https://gex.inhire.app/vagas","Abrir")</f>
        <v>Abrir</v>
      </c>
    </row>
    <row r="175" spans="1:3" x14ac:dyDescent="0.3">
      <c r="A175" t="s">
        <v>561</v>
      </c>
      <c r="B175">
        <v>7</v>
      </c>
      <c r="C175" s="2" t="str">
        <f>HYPERLINK("https://globalsystem.inhire.app/vagas","Abrir")</f>
        <v>Abrir</v>
      </c>
    </row>
    <row r="176" spans="1:3" x14ac:dyDescent="0.3">
      <c r="A176" t="s">
        <v>562</v>
      </c>
      <c r="B176">
        <v>7</v>
      </c>
      <c r="C176" s="2" t="str">
        <f>HYPERLINK("https://3cplusnow.inhire.app/vagas","Abrir")</f>
        <v>Abrir</v>
      </c>
    </row>
    <row r="177" spans="1:3" x14ac:dyDescent="0.3">
      <c r="A177" t="s">
        <v>563</v>
      </c>
      <c r="B177">
        <v>7</v>
      </c>
      <c r="C177" s="2" t="str">
        <f>HYPERLINK("https://indicium.inhire.app/vagas","Abrir")</f>
        <v>Abrir</v>
      </c>
    </row>
    <row r="178" spans="1:3" x14ac:dyDescent="0.3">
      <c r="A178" t="s">
        <v>564</v>
      </c>
      <c r="B178">
        <v>7</v>
      </c>
      <c r="C178" s="2" t="str">
        <f>HYPERLINK("https://minertecnologia.inhire.app/vagas","Abrir")</f>
        <v>Abrir</v>
      </c>
    </row>
    <row r="179" spans="1:3" x14ac:dyDescent="0.3">
      <c r="A179" t="s">
        <v>565</v>
      </c>
      <c r="B179">
        <v>7</v>
      </c>
      <c r="C179" s="2" t="str">
        <f>HYPERLINK("https://piposaude.inhire.app/vagas","Abrir")</f>
        <v>Abrir</v>
      </c>
    </row>
    <row r="180" spans="1:3" x14ac:dyDescent="0.3">
      <c r="A180" t="s">
        <v>423</v>
      </c>
      <c r="B180">
        <v>7</v>
      </c>
      <c r="C180" s="2" t="str">
        <f>HYPERLINK("https://qeevo.inhire.app/vagas","Abrir")</f>
        <v>Abrir</v>
      </c>
    </row>
    <row r="181" spans="1:3" x14ac:dyDescent="0.3">
      <c r="A181" t="s">
        <v>566</v>
      </c>
      <c r="B181">
        <v>7</v>
      </c>
      <c r="C181" s="2" t="str">
        <f>HYPERLINK("https://rentbrella.inhire.app/vagas","Abrir")</f>
        <v>Abrir</v>
      </c>
    </row>
    <row r="182" spans="1:3" x14ac:dyDescent="0.3">
      <c r="A182" t="s">
        <v>567</v>
      </c>
      <c r="B182">
        <v>7</v>
      </c>
      <c r="C182" s="2" t="str">
        <f>HYPERLINK("https://sancorsegurosbrasil.inhire.app/vagas","Abrir")</f>
        <v>Abrir</v>
      </c>
    </row>
    <row r="183" spans="1:3" x14ac:dyDescent="0.3">
      <c r="A183" t="s">
        <v>568</v>
      </c>
      <c r="B183">
        <v>7</v>
      </c>
      <c r="C183" s="2" t="str">
        <f>HYPERLINK("https://sotran.inhire.app/vagas","Abrir")</f>
        <v>Abrir</v>
      </c>
    </row>
    <row r="184" spans="1:3" x14ac:dyDescent="0.3">
      <c r="A184" t="s">
        <v>569</v>
      </c>
      <c r="B184">
        <v>7</v>
      </c>
      <c r="C184" s="2" t="str">
        <f>HYPERLINK("https://townsq.inhire.app/vagas","Abrir")</f>
        <v>Abrir</v>
      </c>
    </row>
    <row r="185" spans="1:3" x14ac:dyDescent="0.3">
      <c r="A185" t="s">
        <v>570</v>
      </c>
      <c r="B185">
        <v>7</v>
      </c>
      <c r="C185" s="2" t="str">
        <f>HYPERLINK("https://upda.inhire.app/vagas","Abrir")</f>
        <v>Abrir</v>
      </c>
    </row>
    <row r="186" spans="1:3" x14ac:dyDescent="0.3">
      <c r="A186" t="s">
        <v>571</v>
      </c>
      <c r="B186">
        <v>7</v>
      </c>
      <c r="C186" s="2" t="str">
        <f>HYPERLINK("https://wevy-cloud.inhire.app/vagas","Abrir")</f>
        <v>Abrir</v>
      </c>
    </row>
    <row r="187" spans="1:3" x14ac:dyDescent="0.3">
      <c r="A187" t="s">
        <v>572</v>
      </c>
      <c r="B187">
        <v>6</v>
      </c>
      <c r="C187" s="2" t="str">
        <f>HYPERLINK("https://azos.inhire.app/vagas","Abrir")</f>
        <v>Abrir</v>
      </c>
    </row>
    <row r="188" spans="1:3" x14ac:dyDescent="0.3">
      <c r="A188" t="s">
        <v>573</v>
      </c>
      <c r="B188">
        <v>6</v>
      </c>
      <c r="C188" s="2" t="str">
        <f>HYPERLINK("https://grupofoodnation.inhire.app/vagas","Abrir")</f>
        <v>Abrir</v>
      </c>
    </row>
    <row r="189" spans="1:3" x14ac:dyDescent="0.3">
      <c r="A189" t="s">
        <v>42</v>
      </c>
      <c r="B189">
        <v>6</v>
      </c>
      <c r="C189" s="2" t="str">
        <f>HYPERLINK("https://carreiras.inhire.app/vagas","Abrir")</f>
        <v>Abrir</v>
      </c>
    </row>
    <row r="190" spans="1:3" x14ac:dyDescent="0.3">
      <c r="A190" t="s">
        <v>574</v>
      </c>
      <c r="B190">
        <v>6</v>
      </c>
      <c r="C190" s="2" t="str">
        <f>HYPERLINK("https://iorq.inhire.app/vagas","Abrir")</f>
        <v>Abrir</v>
      </c>
    </row>
    <row r="191" spans="1:3" x14ac:dyDescent="0.3">
      <c r="A191" t="s">
        <v>575</v>
      </c>
      <c r="B191">
        <v>6</v>
      </c>
      <c r="C191" s="2" t="str">
        <f>HYPERLINK("https://lumine.inhire.app/vagas","Abrir")</f>
        <v>Abrir</v>
      </c>
    </row>
    <row r="192" spans="1:3" x14ac:dyDescent="0.3">
      <c r="A192" t="s">
        <v>576</v>
      </c>
      <c r="B192">
        <v>6</v>
      </c>
      <c r="C192" s="2" t="str">
        <f>HYPERLINK("https://motim.inhire.app/vagas","Abrir")</f>
        <v>Abrir</v>
      </c>
    </row>
    <row r="193" spans="1:3" x14ac:dyDescent="0.3">
      <c r="A193" t="s">
        <v>577</v>
      </c>
      <c r="B193">
        <v>6</v>
      </c>
      <c r="C193" s="2" t="str">
        <f>HYPERLINK("https://programmers.inhire.app/vagas","Abrir")</f>
        <v>Abrir</v>
      </c>
    </row>
    <row r="194" spans="1:3" x14ac:dyDescent="0.3">
      <c r="A194" t="s">
        <v>578</v>
      </c>
      <c r="B194">
        <v>6</v>
      </c>
      <c r="C194" s="2" t="str">
        <f>HYPERLINK("https://rankmyapp.inhire.app/vagas","Abrir")</f>
        <v>Abrir</v>
      </c>
    </row>
    <row r="195" spans="1:3" x14ac:dyDescent="0.3">
      <c r="A195" t="s">
        <v>579</v>
      </c>
      <c r="B195">
        <v>6</v>
      </c>
      <c r="C195" s="2" t="str">
        <f>HYPERLINK("https://seazone.inhire.app/vagas","Abrir")</f>
        <v>Abrir</v>
      </c>
    </row>
    <row r="196" spans="1:3" x14ac:dyDescent="0.3">
      <c r="A196" t="s">
        <v>580</v>
      </c>
      <c r="B196">
        <v>6</v>
      </c>
      <c r="C196" s="2" t="str">
        <f>HYPERLINK("https://tripla.inhire.app/vagas","Abrir")</f>
        <v>Abrir</v>
      </c>
    </row>
    <row r="197" spans="1:3" x14ac:dyDescent="0.3">
      <c r="A197" t="s">
        <v>581</v>
      </c>
      <c r="B197">
        <v>6</v>
      </c>
      <c r="C197" s="2" t="str">
        <f>HYPERLINK("https://ubots.inhire.app/vagas","Abrir")</f>
        <v>Abrir</v>
      </c>
    </row>
    <row r="198" spans="1:3" x14ac:dyDescent="0.3">
      <c r="A198" t="s">
        <v>582</v>
      </c>
      <c r="B198">
        <v>6</v>
      </c>
      <c r="C198" s="2" t="str">
        <f>HYPERLINK("https://verticalrh.inhire.app/vagas","Abrir")</f>
        <v>Abrir</v>
      </c>
    </row>
    <row r="199" spans="1:3" x14ac:dyDescent="0.3">
      <c r="A199" t="s">
        <v>583</v>
      </c>
      <c r="B199">
        <v>5</v>
      </c>
      <c r="C199" s="2" t="str">
        <f>HYPERLINK("https://adias.inhire.app/vagas","Abrir")</f>
        <v>Abrir</v>
      </c>
    </row>
    <row r="200" spans="1:3" x14ac:dyDescent="0.3">
      <c r="A200" t="s">
        <v>584</v>
      </c>
      <c r="B200">
        <v>5</v>
      </c>
      <c r="C200" s="2" t="str">
        <f>HYPERLINK("https://aiko.inhire.app/vagas","Abrir")</f>
        <v>Abrir</v>
      </c>
    </row>
    <row r="201" spans="1:3" x14ac:dyDescent="0.3">
      <c r="A201" t="s">
        <v>585</v>
      </c>
      <c r="B201">
        <v>5</v>
      </c>
      <c r="C201" s="2" t="str">
        <f>HYPERLINK("https://altoqi.inhire.app/vagas","Abrir")</f>
        <v>Abrir</v>
      </c>
    </row>
    <row r="202" spans="1:3" x14ac:dyDescent="0.3">
      <c r="A202" t="s">
        <v>586</v>
      </c>
      <c r="B202">
        <v>5</v>
      </c>
      <c r="C202" s="2" t="str">
        <f>HYPERLINK("https://atlantico.inhire.app/vagas","Abrir")</f>
        <v>Abrir</v>
      </c>
    </row>
    <row r="203" spans="1:3" x14ac:dyDescent="0.3">
      <c r="A203" t="s">
        <v>587</v>
      </c>
      <c r="B203">
        <v>5</v>
      </c>
      <c r="C203" s="2" t="str">
        <f>HYPERLINK("https://celcoin.inhire.app/vagas","Abrir")</f>
        <v>Abrir</v>
      </c>
    </row>
    <row r="204" spans="1:3" x14ac:dyDescent="0.3">
      <c r="A204" t="s">
        <v>588</v>
      </c>
      <c r="B204">
        <v>5</v>
      </c>
      <c r="C204" s="2" t="str">
        <f>HYPERLINK("https://ecx.inhire.app/vagas","Abrir")</f>
        <v>Abrir</v>
      </c>
    </row>
    <row r="205" spans="1:3" x14ac:dyDescent="0.3">
      <c r="A205" t="s">
        <v>589</v>
      </c>
      <c r="B205">
        <v>5</v>
      </c>
      <c r="C205" s="2" t="str">
        <f>HYPERLINK("https://elements.inhire.app/vagas","Abrir")</f>
        <v>Abrir</v>
      </c>
    </row>
    <row r="206" spans="1:3" x14ac:dyDescent="0.3">
      <c r="A206" t="s">
        <v>590</v>
      </c>
      <c r="B206">
        <v>5</v>
      </c>
      <c r="C206" s="2" t="str">
        <f>HYPERLINK("https://estrelabet.inhire.app/vagas","Abrir")</f>
        <v>Abrir</v>
      </c>
    </row>
    <row r="207" spans="1:3" x14ac:dyDescent="0.3">
      <c r="A207" t="s">
        <v>591</v>
      </c>
      <c r="B207">
        <v>5</v>
      </c>
      <c r="C207" s="2" t="str">
        <f>HYPERLINK("https://finallevel.inhire.app/vagas","Abrir")</f>
        <v>Abrir</v>
      </c>
    </row>
    <row r="208" spans="1:3" x14ac:dyDescent="0.3">
      <c r="A208" t="s">
        <v>592</v>
      </c>
      <c r="B208">
        <v>5</v>
      </c>
      <c r="C208" s="2" t="str">
        <f>HYPERLINK("https://jae.inhire.app/vagas","Abrir")</f>
        <v>Abrir</v>
      </c>
    </row>
    <row r="209" spans="1:3" x14ac:dyDescent="0.3">
      <c r="A209" t="s">
        <v>593</v>
      </c>
      <c r="B209">
        <v>5</v>
      </c>
      <c r="C209" s="2" t="str">
        <f>HYPERLINK("https://jeitto.inhire.app/vagas","Abrir")</f>
        <v>Abrir</v>
      </c>
    </row>
    <row r="210" spans="1:3" x14ac:dyDescent="0.3">
      <c r="A210" t="s">
        <v>594</v>
      </c>
      <c r="B210">
        <v>5</v>
      </c>
      <c r="C210" s="2" t="str">
        <f>HYPERLINK("https://queropassagem.inhire.app/vagas","Abrir")</f>
        <v>Abrir</v>
      </c>
    </row>
    <row r="211" spans="1:3" x14ac:dyDescent="0.3">
      <c r="A211" t="s">
        <v>595</v>
      </c>
      <c r="B211">
        <v>5</v>
      </c>
      <c r="C211" s="2" t="str">
        <f>HYPERLINK("https://querodelivery.inhire.app/vagas","Abrir")</f>
        <v>Abrir</v>
      </c>
    </row>
    <row r="212" spans="1:3" x14ac:dyDescent="0.3">
      <c r="A212" t="s">
        <v>596</v>
      </c>
      <c r="B212">
        <v>5</v>
      </c>
      <c r="C212" s="2" t="str">
        <f>HYPERLINK("https://sunne.inhire.app/vagas","Abrir")</f>
        <v>Abrir</v>
      </c>
    </row>
    <row r="213" spans="1:3" x14ac:dyDescent="0.3">
      <c r="A213" t="s">
        <v>597</v>
      </c>
      <c r="B213">
        <v>5</v>
      </c>
      <c r="C213" s="2" t="str">
        <f>HYPERLINK("https://centraldevagas.inhire.app/vagas","Abrir")</f>
        <v>Abrir</v>
      </c>
    </row>
    <row r="214" spans="1:3" x14ac:dyDescent="0.3">
      <c r="A214" t="s">
        <v>598</v>
      </c>
      <c r="B214">
        <v>5</v>
      </c>
      <c r="C214" s="2" t="str">
        <f>HYPERLINK("https://unimar.inhire.app/vagas","Abrir")</f>
        <v>Abrir</v>
      </c>
    </row>
    <row r="215" spans="1:3" x14ac:dyDescent="0.3">
      <c r="A215" t="s">
        <v>599</v>
      </c>
      <c r="B215">
        <v>4</v>
      </c>
      <c r="C215" s="2" t="str">
        <f>HYPERLINK("https://5ccompany.inhire.app/vagas","Abrir")</f>
        <v>Abrir</v>
      </c>
    </row>
    <row r="216" spans="1:3" x14ac:dyDescent="0.3">
      <c r="A216" t="s">
        <v>600</v>
      </c>
      <c r="B216">
        <v>4</v>
      </c>
      <c r="C216" s="2" t="str">
        <f>HYPERLINK("https://alloyal.inhire.app/vagas","Abrir")</f>
        <v>Abrir</v>
      </c>
    </row>
    <row r="217" spans="1:3" x14ac:dyDescent="0.3">
      <c r="A217" t="s">
        <v>601</v>
      </c>
      <c r="B217">
        <v>4</v>
      </c>
      <c r="C217" s="2" t="str">
        <f>HYPERLINK("https://blumeohaagua.inhire.app/vagas","Abrir")</f>
        <v>Abrir</v>
      </c>
    </row>
    <row r="218" spans="1:3" x14ac:dyDescent="0.3">
      <c r="A218" t="s">
        <v>602</v>
      </c>
      <c r="B218">
        <v>4</v>
      </c>
      <c r="C218" s="2" t="str">
        <f>HYPERLINK("https://cinga.inhire.app/vagas","Abrir")</f>
        <v>Abrir</v>
      </c>
    </row>
    <row r="219" spans="1:3" x14ac:dyDescent="0.3">
      <c r="A219" t="s">
        <v>603</v>
      </c>
      <c r="B219">
        <v>4</v>
      </c>
      <c r="C219" s="2" t="str">
        <f>HYPERLINK("https://fintalk.inhire.app/vagas","Abrir")</f>
        <v>Abrir</v>
      </c>
    </row>
    <row r="220" spans="1:3" x14ac:dyDescent="0.3">
      <c r="A220" t="s">
        <v>604</v>
      </c>
      <c r="B220">
        <v>4</v>
      </c>
      <c r="C220" s="2" t="str">
        <f>HYPERLINK("https://genyo.inhire.app/vagas","Abrir")</f>
        <v>Abrir</v>
      </c>
    </row>
    <row r="221" spans="1:3" x14ac:dyDescent="0.3">
      <c r="A221" t="s">
        <v>605</v>
      </c>
      <c r="B221">
        <v>4</v>
      </c>
      <c r="C221" s="2" t="str">
        <f>HYPERLINK("https://imaflora.inhire.app/vagas","Abrir")</f>
        <v>Abrir</v>
      </c>
    </row>
    <row r="222" spans="1:3" x14ac:dyDescent="0.3">
      <c r="A222" t="s">
        <v>606</v>
      </c>
      <c r="B222">
        <v>4</v>
      </c>
      <c r="C222" s="2" t="str">
        <f>HYPERLINK("https://isystems.inhire.app/vagas","Abrir")</f>
        <v>Abrir</v>
      </c>
    </row>
    <row r="223" spans="1:3" x14ac:dyDescent="0.3">
      <c r="A223" t="s">
        <v>607</v>
      </c>
      <c r="B223">
        <v>4</v>
      </c>
      <c r="C223" s="2" t="str">
        <f>HYPERLINK("https://kife.inhire.app/vagas","Abrir")</f>
        <v>Abrir</v>
      </c>
    </row>
    <row r="224" spans="1:3" x14ac:dyDescent="0.3">
      <c r="A224" t="s">
        <v>608</v>
      </c>
      <c r="B224">
        <v>4</v>
      </c>
      <c r="C224" s="2" t="str">
        <f>HYPERLINK("https://klavi.inhire.app/vagas","Abrir")</f>
        <v>Abrir</v>
      </c>
    </row>
    <row r="225" spans="1:3" x14ac:dyDescent="0.3">
      <c r="A225" t="s">
        <v>609</v>
      </c>
      <c r="B225">
        <v>4</v>
      </c>
      <c r="C225" s="2" t="str">
        <f>HYPERLINK("https://kobe.inhire.app/vagas","Abrir")</f>
        <v>Abrir</v>
      </c>
    </row>
    <row r="226" spans="1:3" x14ac:dyDescent="0.3">
      <c r="A226" t="s">
        <v>610</v>
      </c>
      <c r="B226">
        <v>4</v>
      </c>
      <c r="C226" s="2" t="str">
        <f>HYPERLINK("https://labwarebrasil.inhire.app/vagas","Abrir")</f>
        <v>Abrir</v>
      </c>
    </row>
    <row r="227" spans="1:3" x14ac:dyDescent="0.3">
      <c r="A227" t="s">
        <v>611</v>
      </c>
      <c r="B227">
        <v>4</v>
      </c>
      <c r="C227" s="2" t="str">
        <f>HYPERLINK("https://oceandrop.inhire.app/vagas","Abrir")</f>
        <v>Abrir</v>
      </c>
    </row>
    <row r="228" spans="1:3" x14ac:dyDescent="0.3">
      <c r="A228" t="s">
        <v>612</v>
      </c>
      <c r="B228">
        <v>4</v>
      </c>
      <c r="C228" s="2" t="str">
        <f>HYPERLINK("https://sicredi.inhire.app/vagas","Abrir")</f>
        <v>Abrir</v>
      </c>
    </row>
    <row r="229" spans="1:3" x14ac:dyDescent="0.3">
      <c r="A229" t="s">
        <v>613</v>
      </c>
      <c r="B229">
        <v>4</v>
      </c>
      <c r="C229" s="2" t="str">
        <f>HYPERLINK("https://trampay.inhire.app/vagas","Abrir")</f>
        <v>Abrir</v>
      </c>
    </row>
    <row r="230" spans="1:3" x14ac:dyDescent="0.3">
      <c r="A230" t="s">
        <v>614</v>
      </c>
      <c r="B230">
        <v>4</v>
      </c>
      <c r="C230" s="2" t="str">
        <f>HYPERLINK("https://vixtra.inhire.app/vagas","Abrir")</f>
        <v>Abrir</v>
      </c>
    </row>
    <row r="231" spans="1:3" x14ac:dyDescent="0.3">
      <c r="A231" t="s">
        <v>615</v>
      </c>
      <c r="B231">
        <v>3</v>
      </c>
      <c r="C231" s="2" t="str">
        <f>HYPERLINK("https://aprix.inhire.app/vagas","Abrir")</f>
        <v>Abrir</v>
      </c>
    </row>
    <row r="232" spans="1:3" x14ac:dyDescent="0.3">
      <c r="A232" t="s">
        <v>616</v>
      </c>
      <c r="B232">
        <v>3</v>
      </c>
      <c r="C232" s="2" t="str">
        <f>HYPERLINK("https://benup.inhire.app/vagas","Abrir")</f>
        <v>Abrir</v>
      </c>
    </row>
    <row r="233" spans="1:3" x14ac:dyDescent="0.3">
      <c r="A233" t="s">
        <v>617</v>
      </c>
      <c r="B233">
        <v>3</v>
      </c>
      <c r="C233" s="2" t="str">
        <f>HYPERLINK("https://findup.inhire.app/vagas","Abrir")</f>
        <v>Abrir</v>
      </c>
    </row>
    <row r="234" spans="1:3" x14ac:dyDescent="0.3">
      <c r="A234" t="s">
        <v>618</v>
      </c>
      <c r="B234">
        <v>3</v>
      </c>
      <c r="C234" s="2" t="str">
        <f>HYPERLINK("https://foxbit.inhire.app/vagas","Abrir")</f>
        <v>Abrir</v>
      </c>
    </row>
    <row r="235" spans="1:3" x14ac:dyDescent="0.3">
      <c r="A235" t="s">
        <v>619</v>
      </c>
      <c r="B235">
        <v>3</v>
      </c>
      <c r="C235" s="2" t="str">
        <f>HYPERLINK("https://gobravo.inhire.app/vagas","Abrir")</f>
        <v>Abrir</v>
      </c>
    </row>
    <row r="236" spans="1:3" x14ac:dyDescent="0.3">
      <c r="A236" t="s">
        <v>620</v>
      </c>
      <c r="B236">
        <v>3</v>
      </c>
      <c r="C236" s="2" t="str">
        <f>HYPERLINK("https://grupogopwr.inhire.app/vagas","Abrir")</f>
        <v>Abrir</v>
      </c>
    </row>
    <row r="237" spans="1:3" x14ac:dyDescent="0.3">
      <c r="A237" t="s">
        <v>621</v>
      </c>
      <c r="B237">
        <v>3</v>
      </c>
      <c r="C237" s="2" t="str">
        <f>HYPERLINK("https://cirandacultural.inhire.app/vagas","Abrir")</f>
        <v>Abrir</v>
      </c>
    </row>
    <row r="238" spans="1:3" x14ac:dyDescent="0.3">
      <c r="A238" t="s">
        <v>622</v>
      </c>
      <c r="B238">
        <v>3</v>
      </c>
      <c r="C238" s="2" t="str">
        <f>HYPERLINK("https://grupopermaneo.inhire.app/vagas","Abrir")</f>
        <v>Abrir</v>
      </c>
    </row>
    <row r="239" spans="1:3" x14ac:dyDescent="0.3">
      <c r="A239" t="s">
        <v>623</v>
      </c>
      <c r="B239">
        <v>3</v>
      </c>
      <c r="C239" s="2" t="str">
        <f>HYPERLINK("https://jota.inhire.app/vagas","Abrir")</f>
        <v>Abrir</v>
      </c>
    </row>
    <row r="240" spans="1:3" x14ac:dyDescent="0.3">
      <c r="A240" t="s">
        <v>624</v>
      </c>
      <c r="B240">
        <v>3</v>
      </c>
      <c r="C240" s="2" t="str">
        <f>HYPERLINK("https://kamino.inhire.app/vagas","Abrir")</f>
        <v>Abrir</v>
      </c>
    </row>
    <row r="241" spans="1:3" x14ac:dyDescent="0.3">
      <c r="A241" t="s">
        <v>625</v>
      </c>
      <c r="B241">
        <v>3</v>
      </c>
      <c r="C241" s="2" t="str">
        <f>HYPERLINK("https://laboclin.inhire.app/vagas","Abrir")</f>
        <v>Abrir</v>
      </c>
    </row>
    <row r="242" spans="1:3" x14ac:dyDescent="0.3">
      <c r="A242" t="s">
        <v>626</v>
      </c>
      <c r="B242">
        <v>3</v>
      </c>
      <c r="C242" s="2" t="str">
        <f>HYPERLINK("https://liber.inhire.app/vagas","Abrir")</f>
        <v>Abrir</v>
      </c>
    </row>
    <row r="243" spans="1:3" x14ac:dyDescent="0.3">
      <c r="A243" t="s">
        <v>627</v>
      </c>
      <c r="B243">
        <v>3</v>
      </c>
      <c r="C243" s="2" t="str">
        <f>HYPERLINK("https://match-mt.inhire.app/vagas","Abrir")</f>
        <v>Abrir</v>
      </c>
    </row>
    <row r="244" spans="1:3" x14ac:dyDescent="0.3">
      <c r="A244" t="s">
        <v>628</v>
      </c>
      <c r="B244">
        <v>3</v>
      </c>
      <c r="C244" s="2" t="str">
        <f>HYPERLINK("https://mathgroup.inhire.app/vagas","Abrir")</f>
        <v>Abrir</v>
      </c>
    </row>
    <row r="245" spans="1:3" x14ac:dyDescent="0.3">
      <c r="A245" t="s">
        <v>629</v>
      </c>
      <c r="B245">
        <v>3</v>
      </c>
      <c r="C245" s="2" t="str">
        <f>HYPERLINK("https://midhaus.inhire.app/vagas","Abrir")</f>
        <v>Abrir</v>
      </c>
    </row>
    <row r="246" spans="1:3" x14ac:dyDescent="0.3">
      <c r="A246" t="s">
        <v>630</v>
      </c>
      <c r="B246">
        <v>3</v>
      </c>
      <c r="C246" s="2" t="str">
        <f>HYPERLINK("https://rhitmotech.inhire.app/vagas","Abrir")</f>
        <v>Abrir</v>
      </c>
    </row>
    <row r="247" spans="1:3" x14ac:dyDescent="0.3">
      <c r="A247" t="s">
        <v>631</v>
      </c>
      <c r="B247">
        <v>3</v>
      </c>
      <c r="C247" s="2" t="str">
        <f>HYPERLINK("https://talentt.inhire.app/vagas","Abrir")</f>
        <v>Abrir</v>
      </c>
    </row>
    <row r="248" spans="1:3" x14ac:dyDescent="0.3">
      <c r="A248" t="s">
        <v>632</v>
      </c>
      <c r="B248">
        <v>3</v>
      </c>
      <c r="C248" s="2" t="str">
        <f>HYPERLINK("https://upflux.inhire.app/vagas","Abrir")</f>
        <v>Abrir</v>
      </c>
    </row>
    <row r="249" spans="1:3" x14ac:dyDescent="0.3">
      <c r="A249" t="s">
        <v>633</v>
      </c>
      <c r="B249">
        <v>2</v>
      </c>
      <c r="C249" s="2" t="str">
        <f>HYPERLINK("https://ascsolutions.inhire.app/vagas","Abrir")</f>
        <v>Abrir</v>
      </c>
    </row>
    <row r="250" spans="1:3" x14ac:dyDescent="0.3">
      <c r="A250" t="s">
        <v>634</v>
      </c>
      <c r="B250">
        <v>2</v>
      </c>
      <c r="C250" s="2" t="str">
        <f>HYPERLINK("https://autom.inhire.app/vagas","Abrir")</f>
        <v>Abrir</v>
      </c>
    </row>
    <row r="251" spans="1:3" x14ac:dyDescent="0.3">
      <c r="A251" t="s">
        <v>635</v>
      </c>
      <c r="B251">
        <v>2</v>
      </c>
      <c r="C251" s="2" t="str">
        <f>HYPERLINK("https://cactus.inhire.app/vagas","Abrir")</f>
        <v>Abrir</v>
      </c>
    </row>
    <row r="252" spans="1:3" x14ac:dyDescent="0.3">
      <c r="A252" t="s">
        <v>636</v>
      </c>
      <c r="B252">
        <v>2</v>
      </c>
      <c r="C252" s="2" t="str">
        <f>HYPERLINK("https://capef.inhire.app/vagas","Abrir")</f>
        <v>Abrir</v>
      </c>
    </row>
    <row r="253" spans="1:3" x14ac:dyDescent="0.3">
      <c r="A253" t="s">
        <v>637</v>
      </c>
      <c r="B253">
        <v>2</v>
      </c>
      <c r="C253" s="2" t="str">
        <f>HYPERLINK("https://celero.inhire.app/vagas","Abrir")</f>
        <v>Abrir</v>
      </c>
    </row>
    <row r="254" spans="1:3" x14ac:dyDescent="0.3">
      <c r="A254" t="s">
        <v>638</v>
      </c>
      <c r="B254">
        <v>2</v>
      </c>
      <c r="C254" s="2" t="str">
        <f>HYPERLINK("https://crown.inhire.app/vagas","Abrir")</f>
        <v>Abrir</v>
      </c>
    </row>
    <row r="255" spans="1:3" x14ac:dyDescent="0.3">
      <c r="A255" t="s">
        <v>639</v>
      </c>
      <c r="B255">
        <v>2</v>
      </c>
      <c r="C255" s="2" t="str">
        <f>HYPERLINK("https://dtlabs.inhire.app/vagas","Abrir")</f>
        <v>Abrir</v>
      </c>
    </row>
    <row r="256" spans="1:3" x14ac:dyDescent="0.3">
      <c r="A256" t="s">
        <v>640</v>
      </c>
      <c r="B256">
        <v>2</v>
      </c>
      <c r="C256" s="2" t="str">
        <f>HYPERLINK("https://emergeventures.inhire.app/vagas","Abrir")</f>
        <v>Abrir</v>
      </c>
    </row>
    <row r="257" spans="1:3" x14ac:dyDescent="0.3">
      <c r="A257" t="s">
        <v>641</v>
      </c>
      <c r="B257">
        <v>2</v>
      </c>
      <c r="C257" s="2" t="str">
        <f>HYPERLINK("https://enzrossi.inhire.app/vagas","Abrir")</f>
        <v>Abrir</v>
      </c>
    </row>
    <row r="258" spans="1:3" x14ac:dyDescent="0.3">
      <c r="A258" t="s">
        <v>642</v>
      </c>
      <c r="B258">
        <v>2</v>
      </c>
      <c r="C258" s="2" t="str">
        <f>HYPERLINK("https://floraconsultoria.inhire.app/vagas","Abrir")</f>
        <v>Abrir</v>
      </c>
    </row>
    <row r="259" spans="1:3" x14ac:dyDescent="0.3">
      <c r="A259" t="s">
        <v>643</v>
      </c>
      <c r="B259">
        <v>2</v>
      </c>
      <c r="C259" s="2" t="str">
        <f>HYPERLINK("https://grupoeximio.inhire.app/vagas","Abrir")</f>
        <v>Abrir</v>
      </c>
    </row>
    <row r="260" spans="1:3" x14ac:dyDescent="0.3">
      <c r="A260" t="s">
        <v>644</v>
      </c>
      <c r="B260">
        <v>2</v>
      </c>
      <c r="C260" s="2" t="str">
        <f>HYPERLINK("https://lightfarmstudios.inhire.app/vagas","Abrir")</f>
        <v>Abrir</v>
      </c>
    </row>
    <row r="261" spans="1:3" x14ac:dyDescent="0.3">
      <c r="A261" t="s">
        <v>645</v>
      </c>
      <c r="B261">
        <v>2</v>
      </c>
      <c r="C261" s="2" t="str">
        <f>HYPERLINK("https://limaconsulting.inhire.app/vagas","Abrir")</f>
        <v>Abrir</v>
      </c>
    </row>
    <row r="262" spans="1:3" x14ac:dyDescent="0.3">
      <c r="A262" t="s">
        <v>646</v>
      </c>
      <c r="B262">
        <v>2</v>
      </c>
      <c r="C262" s="2" t="str">
        <f>HYPERLINK("https://mirum.inhire.app/vagas","Abrir")</f>
        <v>Abrir</v>
      </c>
    </row>
    <row r="263" spans="1:3" x14ac:dyDescent="0.3">
      <c r="A263" t="s">
        <v>647</v>
      </c>
      <c r="B263">
        <v>2</v>
      </c>
      <c r="C263" s="2" t="str">
        <f>HYPERLINK("https://nuvidio.inhire.app/vagas","Abrir")</f>
        <v>Abrir</v>
      </c>
    </row>
    <row r="264" spans="1:3" x14ac:dyDescent="0.3">
      <c r="A264" t="s">
        <v>648</v>
      </c>
      <c r="B264">
        <v>2</v>
      </c>
      <c r="C264" s="2" t="str">
        <f>HYPERLINK("https://dhg.inhire.app/vagas","Abrir")</f>
        <v>Abrir</v>
      </c>
    </row>
    <row r="265" spans="1:3" x14ac:dyDescent="0.3">
      <c r="A265" t="s">
        <v>649</v>
      </c>
      <c r="B265">
        <v>2</v>
      </c>
      <c r="C265" s="2" t="str">
        <f>HYPERLINK("https://silicon.inhire.app/vagas","Abrir")</f>
        <v>Abrir</v>
      </c>
    </row>
    <row r="266" spans="1:3" x14ac:dyDescent="0.3">
      <c r="A266" t="s">
        <v>650</v>
      </c>
      <c r="B266">
        <v>2</v>
      </c>
      <c r="C266" s="2" t="str">
        <f>HYPERLINK("https://softvaro.inhire.app/vagas","Abrir")</f>
        <v>Abrir</v>
      </c>
    </row>
    <row r="267" spans="1:3" x14ac:dyDescent="0.3">
      <c r="A267" t="s">
        <v>651</v>
      </c>
      <c r="B267">
        <v>2</v>
      </c>
      <c r="C267" s="2" t="str">
        <f>HYPERLINK("https://strm-music.inhire.app/vagas","Abrir")</f>
        <v>Abrir</v>
      </c>
    </row>
    <row r="268" spans="1:3" x14ac:dyDescent="0.3">
      <c r="A268" t="s">
        <v>652</v>
      </c>
      <c r="B268">
        <v>2</v>
      </c>
      <c r="C268" s="2" t="str">
        <f>HYPERLINK("https://superfrete.inhire.app/vagas","Abrir")</f>
        <v>Abrir</v>
      </c>
    </row>
    <row r="269" spans="1:3" x14ac:dyDescent="0.3">
      <c r="A269" t="s">
        <v>653</v>
      </c>
      <c r="B269">
        <v>2</v>
      </c>
      <c r="C269" s="2" t="str">
        <f>HYPERLINK("https://tera.inhire.app/vagas","Abrir")</f>
        <v>Abrir</v>
      </c>
    </row>
    <row r="270" spans="1:3" x14ac:dyDescent="0.3">
      <c r="A270" t="s">
        <v>654</v>
      </c>
      <c r="B270">
        <v>2</v>
      </c>
      <c r="C270" s="2" t="str">
        <f>HYPERLINK("https://thunderstecnologia.inhire.app/vagas","Abrir")</f>
        <v>Abrir</v>
      </c>
    </row>
    <row r="271" spans="1:3" x14ac:dyDescent="0.3">
      <c r="A271" t="s">
        <v>655</v>
      </c>
      <c r="B271">
        <v>2</v>
      </c>
      <c r="C271" s="2" t="str">
        <f>HYPERLINK("https://mspestudios.inhire.app/vagas","Abrir")</f>
        <v>Abrir</v>
      </c>
    </row>
    <row r="272" spans="1:3" x14ac:dyDescent="0.3">
      <c r="A272" t="s">
        <v>656</v>
      </c>
      <c r="B272">
        <v>2</v>
      </c>
      <c r="C272" s="2" t="str">
        <f>HYPERLINK("https://via.inhire.app/vagas","Abrir")</f>
        <v>Abrir</v>
      </c>
    </row>
    <row r="273" spans="1:3" x14ac:dyDescent="0.3">
      <c r="A273" t="s">
        <v>657</v>
      </c>
      <c r="B273">
        <v>2</v>
      </c>
      <c r="C273" s="2" t="str">
        <f>HYPERLINK("https://volttaenergy.inhire.app/vagas","Abrir")</f>
        <v>Abrir</v>
      </c>
    </row>
    <row r="274" spans="1:3" x14ac:dyDescent="0.3">
      <c r="A274" t="s">
        <v>658</v>
      </c>
      <c r="B274">
        <v>2</v>
      </c>
      <c r="C274" s="2" t="str">
        <f>HYPERLINK("https://wellz.inhire.app/vagas","Abrir")</f>
        <v>Abrir</v>
      </c>
    </row>
    <row r="275" spans="1:3" x14ac:dyDescent="0.3">
      <c r="A275" t="s">
        <v>659</v>
      </c>
      <c r="B275">
        <v>1</v>
      </c>
      <c r="C275" s="2" t="str">
        <f>HYPERLINK("https://180seguros.inhire.app/vagas","Abrir")</f>
        <v>Abrir</v>
      </c>
    </row>
    <row r="276" spans="1:3" x14ac:dyDescent="0.3">
      <c r="A276" t="s">
        <v>660</v>
      </c>
      <c r="B276">
        <v>1</v>
      </c>
      <c r="C276" s="2" t="str">
        <f>HYPERLINK("https://advbox.inhire.app/vagas","Abrir")</f>
        <v>Abrir</v>
      </c>
    </row>
    <row r="277" spans="1:3" x14ac:dyDescent="0.3">
      <c r="A277" t="s">
        <v>661</v>
      </c>
      <c r="B277">
        <v>1</v>
      </c>
      <c r="C277" s="2" t="str">
        <f>HYPERLINK("https://allintra.inhire.app/vagas","Abrir")</f>
        <v>Abrir</v>
      </c>
    </row>
    <row r="278" spans="1:3" x14ac:dyDescent="0.3">
      <c r="A278" t="s">
        <v>662</v>
      </c>
      <c r="B278">
        <v>1</v>
      </c>
      <c r="C278" s="2" t="str">
        <f>HYPERLINK("https://appfacilita.inhire.app/vagas","Abrir")</f>
        <v>Abrir</v>
      </c>
    </row>
    <row r="279" spans="1:3" x14ac:dyDescent="0.3">
      <c r="A279" t="s">
        <v>663</v>
      </c>
      <c r="B279">
        <v>1</v>
      </c>
      <c r="C279" s="2" t="str">
        <f>HYPERLINK("https://banni.inhire.app/vagas","Abrir")</f>
        <v>Abrir</v>
      </c>
    </row>
    <row r="280" spans="1:3" x14ac:dyDescent="0.3">
      <c r="A280" t="s">
        <v>664</v>
      </c>
      <c r="B280">
        <v>1</v>
      </c>
      <c r="C280" s="2" t="str">
        <f>HYPERLINK("https://betmgm.inhire.app/vagas","Abrir")</f>
        <v>Abrir</v>
      </c>
    </row>
    <row r="281" spans="1:3" x14ac:dyDescent="0.3">
      <c r="A281" t="s">
        <v>665</v>
      </c>
      <c r="B281">
        <v>1</v>
      </c>
      <c r="C281" s="2" t="str">
        <f>HYPERLINK("https://bigdata.inhire.app/vagas","Abrir")</f>
        <v>Abrir</v>
      </c>
    </row>
    <row r="282" spans="1:3" x14ac:dyDescent="0.3">
      <c r="A282" t="s">
        <v>666</v>
      </c>
      <c r="B282">
        <v>1</v>
      </c>
      <c r="C282" s="2" t="str">
        <f>HYPERLINK("https://bipa.inhire.app/vagas","Abrir")</f>
        <v>Abrir</v>
      </c>
    </row>
    <row r="283" spans="1:3" x14ac:dyDescent="0.3">
      <c r="A283" t="s">
        <v>667</v>
      </c>
      <c r="B283">
        <v>1</v>
      </c>
      <c r="C283" s="2" t="str">
        <f>HYPERLINK("https://breezyseguros.inhire.app/vagas","Abrir")</f>
        <v>Abrir</v>
      </c>
    </row>
    <row r="284" spans="1:3" x14ac:dyDescent="0.3">
      <c r="A284" t="s">
        <v>668</v>
      </c>
      <c r="B284">
        <v>1</v>
      </c>
      <c r="C284" s="2" t="str">
        <f>HYPERLINK("https://chatguru.inhire.app/vagas","Abrir")</f>
        <v>Abrir</v>
      </c>
    </row>
    <row r="285" spans="1:3" x14ac:dyDescent="0.3">
      <c r="A285" t="s">
        <v>669</v>
      </c>
      <c r="B285">
        <v>1</v>
      </c>
      <c r="C285" s="2" t="str">
        <f>HYPERLINK("https://fluke.inhire.app/vagas","Abrir")</f>
        <v>Abrir</v>
      </c>
    </row>
    <row r="286" spans="1:3" x14ac:dyDescent="0.3">
      <c r="A286" t="s">
        <v>670</v>
      </c>
      <c r="B286">
        <v>1</v>
      </c>
      <c r="C286" s="2" t="str">
        <f>HYPERLINK("https://gcservicos.inhire.app/vagas","Abrir")</f>
        <v>Abrir</v>
      </c>
    </row>
    <row r="287" spans="1:3" x14ac:dyDescent="0.3">
      <c r="A287" t="s">
        <v>133</v>
      </c>
      <c r="B287">
        <v>1</v>
      </c>
      <c r="C287" s="2" t="str">
        <f>HYPERLINK("https://gruposaga.inhire.app/vagas","Abrir")</f>
        <v>Abrir</v>
      </c>
    </row>
    <row r="288" spans="1:3" x14ac:dyDescent="0.3">
      <c r="A288" t="s">
        <v>671</v>
      </c>
      <c r="B288">
        <v>1</v>
      </c>
      <c r="C288" s="2" t="str">
        <f>HYPERLINK("https://iventis.inhire.app/vagas","Abrir")</f>
        <v>Abrir</v>
      </c>
    </row>
    <row r="289" spans="1:3" x14ac:dyDescent="0.3">
      <c r="A289" t="s">
        <v>672</v>
      </c>
      <c r="B289">
        <v>1</v>
      </c>
      <c r="C289" s="2" t="str">
        <f>HYPERLINK("https://kiwify.inhire.app/vagas","Abrir")</f>
        <v>Abrir</v>
      </c>
    </row>
    <row r="290" spans="1:3" x14ac:dyDescent="0.3">
      <c r="A290" t="s">
        <v>673</v>
      </c>
      <c r="B290">
        <v>1</v>
      </c>
      <c r="C290" s="2" t="str">
        <f>HYPERLINK("https://mapahds.inhire.app/vagas","Abrir")</f>
        <v>Abrir</v>
      </c>
    </row>
    <row r="291" spans="1:3" x14ac:dyDescent="0.3">
      <c r="A291" t="s">
        <v>674</v>
      </c>
      <c r="B291">
        <v>1</v>
      </c>
      <c r="C291" s="2" t="str">
        <f>HYPERLINK("https://monkey.inhire.app/vagas","Abrir")</f>
        <v>Abrir</v>
      </c>
    </row>
    <row r="292" spans="1:3" x14ac:dyDescent="0.3">
      <c r="A292" t="s">
        <v>675</v>
      </c>
      <c r="B292">
        <v>1</v>
      </c>
      <c r="C292" s="2" t="str">
        <f>HYPERLINK("https://principia.inhire.app/vagas","Abrir")</f>
        <v>Abrir</v>
      </c>
    </row>
    <row r="293" spans="1:3" x14ac:dyDescent="0.3">
      <c r="A293" t="s">
        <v>676</v>
      </c>
      <c r="B293">
        <v>1</v>
      </c>
      <c r="C293" s="2" t="str">
        <f>HYPERLINK("https://shapedigital.inhire.app/vagas","Abrir")</f>
        <v>Abrir</v>
      </c>
    </row>
    <row r="294" spans="1:3" x14ac:dyDescent="0.3">
      <c r="A294" t="s">
        <v>677</v>
      </c>
      <c r="B294">
        <v>1</v>
      </c>
      <c r="C294" s="2" t="str">
        <f>HYPERLINK("https://simdigital.inhire.app/vagas","Abrir")</f>
        <v>Abrir</v>
      </c>
    </row>
    <row r="295" spans="1:3" x14ac:dyDescent="0.3">
      <c r="A295" t="s">
        <v>678</v>
      </c>
      <c r="B295">
        <v>1</v>
      </c>
      <c r="C295" s="2" t="str">
        <f>HYPERLINK("https://tc.inhire.app/vagas","Abrir")</f>
        <v>Abrir</v>
      </c>
    </row>
    <row r="296" spans="1:3" x14ac:dyDescent="0.3">
      <c r="A296" t="s">
        <v>679</v>
      </c>
      <c r="B296">
        <v>1</v>
      </c>
      <c r="C296" s="2" t="str">
        <f>HYPERLINK("https://ticket360.inhire.app/vagas","Abrir")</f>
        <v>Abrir</v>
      </c>
    </row>
    <row r="297" spans="1:3" x14ac:dyDescent="0.3">
      <c r="A297" t="s">
        <v>680</v>
      </c>
      <c r="B297">
        <v>1</v>
      </c>
      <c r="C297" s="2" t="str">
        <f>HYPERLINK("https://transfero.inhire.app/vagas","Abrir")</f>
        <v>Abrir</v>
      </c>
    </row>
    <row r="298" spans="1:3" x14ac:dyDescent="0.3">
      <c r="A298" t="s">
        <v>681</v>
      </c>
      <c r="B298">
        <v>1</v>
      </c>
      <c r="C298" s="2" t="str">
        <f>HYPERLINK("https://vatto.inhire.app/vagas","Abrir")</f>
        <v>Abrir</v>
      </c>
    </row>
    <row r="299" spans="1:3" x14ac:dyDescent="0.3">
      <c r="A299" t="s">
        <v>682</v>
      </c>
      <c r="B299">
        <v>1</v>
      </c>
      <c r="C299" s="2" t="str">
        <f>HYPERLINK("https://vinta.inhire.app/vagas","Abrir")</f>
        <v>Abrir</v>
      </c>
    </row>
    <row r="300" spans="1:3" x14ac:dyDescent="0.3">
      <c r="A300" t="s">
        <v>683</v>
      </c>
      <c r="B300">
        <v>1</v>
      </c>
      <c r="C300" s="2" t="str">
        <f>HYPERLINK("https://vockan.inhire.app/vagas","Abrir")</f>
        <v>Abrir</v>
      </c>
    </row>
  </sheetData>
  <autoFilter ref="A1:C300" xr:uid="{BC7884C5-EE35-4997-88D0-31E7A24B608D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Vagas</vt:lpstr>
      <vt:lpstr>Presenca por Empresa</vt:lpstr>
      <vt:lpstr>InHire novas (fora da lista)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Pedro Uehara</dc:creator>
  <cp:lastModifiedBy>João Pedro Uehara</cp:lastModifiedBy>
  <dcterms:created xsi:type="dcterms:W3CDTF">2026-07-29T23:42:04Z</dcterms:created>
  <dcterms:modified xsi:type="dcterms:W3CDTF">2026-07-29T23:42:08Z</dcterms:modified>
</cp:coreProperties>
</file>